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TCP\110_45_4\Results\"/>
    </mc:Choice>
  </mc:AlternateContent>
  <xr:revisionPtr revIDLastSave="0" documentId="13_ncr:1_{1CB50096-C044-4B21-B442-609C946BBA49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" i="1" l="1"/>
  <c r="AA29" i="1"/>
  <c r="Z29" i="1"/>
  <c r="AA28" i="1"/>
  <c r="Z28" i="1"/>
  <c r="AA27" i="1"/>
  <c r="Z27" i="1"/>
  <c r="AA23" i="1"/>
  <c r="AA22" i="1"/>
  <c r="Z22" i="1"/>
  <c r="AA21" i="1"/>
  <c r="Z21" i="1"/>
  <c r="AA17" i="1"/>
  <c r="Z17" i="1"/>
  <c r="AA16" i="1"/>
  <c r="Z16" i="1"/>
  <c r="AA15" i="1"/>
  <c r="Z15" i="1"/>
  <c r="AA11" i="1"/>
  <c r="Z11" i="1"/>
  <c r="AA10" i="1"/>
  <c r="Z10" i="1"/>
  <c r="AA9" i="1"/>
  <c r="Z9" i="1"/>
  <c r="AA5" i="1"/>
  <c r="Z5" i="1"/>
  <c r="AA4" i="1"/>
  <c r="Z4" i="1"/>
  <c r="AA3" i="1"/>
  <c r="Z3" i="1"/>
  <c r="L35" i="1"/>
  <c r="L34" i="1"/>
  <c r="L33" i="1"/>
  <c r="L29" i="1"/>
  <c r="L28" i="1"/>
  <c r="L27" i="1"/>
  <c r="L23" i="1"/>
  <c r="L22" i="1"/>
  <c r="L21" i="1"/>
  <c r="M35" i="1"/>
  <c r="M34" i="1"/>
  <c r="M33" i="1"/>
  <c r="M29" i="1"/>
  <c r="M28" i="1"/>
  <c r="M27" i="1"/>
  <c r="M23" i="1"/>
  <c r="M22" i="1"/>
  <c r="M21" i="1"/>
  <c r="M17" i="1"/>
  <c r="M16" i="1"/>
  <c r="M15" i="1"/>
  <c r="L17" i="1"/>
  <c r="L16" i="1"/>
  <c r="L15" i="1"/>
  <c r="M11" i="1"/>
  <c r="M10" i="1"/>
  <c r="L11" i="1"/>
  <c r="L10" i="1"/>
  <c r="L9" i="1"/>
  <c r="M9" i="1"/>
  <c r="M4" i="1"/>
  <c r="M5" i="1"/>
  <c r="L4" i="1"/>
  <c r="L5" i="1"/>
  <c r="M3" i="1"/>
  <c r="L3" i="1"/>
</calcChain>
</file>

<file path=xl/sharedStrings.xml><?xml version="1.0" encoding="utf-8"?>
<sst xmlns="http://schemas.openxmlformats.org/spreadsheetml/2006/main" count="176" uniqueCount="16">
  <si>
    <t>Reading 1</t>
  </si>
  <si>
    <t>Reading 2</t>
  </si>
  <si>
    <t>Reading 3</t>
  </si>
  <si>
    <t>Reading 4</t>
  </si>
  <si>
    <t>Reading 5</t>
  </si>
  <si>
    <t>Reading 6</t>
  </si>
  <si>
    <t>Reading 7</t>
  </si>
  <si>
    <t>Reading 8</t>
  </si>
  <si>
    <t>Reading 9</t>
  </si>
  <si>
    <t>Reading 10</t>
  </si>
  <si>
    <t>Average</t>
  </si>
  <si>
    <t>Location</t>
  </si>
  <si>
    <t>A</t>
  </si>
  <si>
    <t>B</t>
  </si>
  <si>
    <t>C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</si>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</sst>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5"/>
  <sheetViews>
    <sheetView tabSelected="1" topLeftCell="D9" workbookViewId="0">
      <selection activeCell="H15" sqref="H15"/>
    </sheetView>
  </sheetViews>
  <sheetFormatPr defaultRowHeight="14.4" x14ac:dyDescent="0.3"/>
  <cols>
    <col min="11" max="11" width="9.88671875" bestFit="1" customWidth="1"/>
    <col min="13" max="13" width="9.5546875" bestFit="1" customWidth="1"/>
  </cols>
  <sheetData>
    <row r="1" spans="1:27" ht="15" thickBot="1" x14ac:dyDescent="0.35">
      <c r="A1" s="15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  <c r="O1" s="15">
        <v>0.05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/>
    </row>
    <row r="2" spans="1:27" ht="15" thickBot="1" x14ac:dyDescent="0.35">
      <c r="A2" s="3" t="s">
        <v>11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7" t="s">
        <v>10</v>
      </c>
      <c r="M2" s="10" t="s">
        <v>15</v>
      </c>
      <c r="O2" s="3" t="s">
        <v>11</v>
      </c>
      <c r="P2" s="4" t="s">
        <v>0</v>
      </c>
      <c r="Q2" s="4" t="s">
        <v>1</v>
      </c>
      <c r="R2" s="4" t="s">
        <v>2</v>
      </c>
      <c r="S2" s="4" t="s">
        <v>3</v>
      </c>
      <c r="T2" s="4" t="s">
        <v>4</v>
      </c>
      <c r="U2" s="4" t="s">
        <v>5</v>
      </c>
      <c r="V2" s="4" t="s">
        <v>6</v>
      </c>
      <c r="W2" s="4" t="s">
        <v>7</v>
      </c>
      <c r="X2" s="4" t="s">
        <v>8</v>
      </c>
      <c r="Y2" s="4" t="s">
        <v>9</v>
      </c>
      <c r="Z2" s="7" t="s">
        <v>10</v>
      </c>
      <c r="AA2" s="10" t="s">
        <v>15</v>
      </c>
    </row>
    <row r="3" spans="1:27" x14ac:dyDescent="0.3">
      <c r="A3" s="5" t="s">
        <v>12</v>
      </c>
      <c r="B3" s="1">
        <v>108.877</v>
      </c>
      <c r="C3" s="1">
        <v>109.33799999999999</v>
      </c>
      <c r="D3" s="1">
        <v>110.047</v>
      </c>
      <c r="E3" s="1">
        <v>109.977</v>
      </c>
      <c r="F3" s="1">
        <v>107.20699999999999</v>
      </c>
      <c r="G3" s="1"/>
      <c r="H3" s="1"/>
      <c r="I3" s="1"/>
      <c r="J3" s="1"/>
      <c r="K3" s="1"/>
      <c r="L3" s="12">
        <f>AVERAGE(B3:K3)</f>
        <v>109.08919999999998</v>
      </c>
      <c r="M3" s="11">
        <f>2.262*_xlfn.STDEV.S(B3:K3)</f>
        <v>2.6172759332299735</v>
      </c>
      <c r="O3" s="5" t="s">
        <v>12</v>
      </c>
      <c r="P3" s="1">
        <v>107.81100000000001</v>
      </c>
      <c r="Q3" s="1">
        <v>107.693</v>
      </c>
      <c r="R3" s="1">
        <v>108.35299999999999</v>
      </c>
      <c r="S3" s="1">
        <v>108.16800000000001</v>
      </c>
      <c r="T3" s="1">
        <v>108.286</v>
      </c>
      <c r="U3" s="1"/>
      <c r="V3" s="1"/>
      <c r="W3" s="1"/>
      <c r="X3" s="1"/>
      <c r="Y3" s="1"/>
      <c r="Z3" s="12">
        <f>AVERAGE(P3:Y3)</f>
        <v>108.0622</v>
      </c>
      <c r="AA3" s="11">
        <f>2.262*_xlfn.STDEV.S(P3:Y3)</f>
        <v>0.66455735284683726</v>
      </c>
    </row>
    <row r="4" spans="1:27" x14ac:dyDescent="0.3">
      <c r="A4" s="5" t="s">
        <v>13</v>
      </c>
      <c r="B4" s="1">
        <v>114.761</v>
      </c>
      <c r="C4" s="1">
        <v>112.261</v>
      </c>
      <c r="D4" s="1">
        <v>117.133</v>
      </c>
      <c r="E4" s="1">
        <v>115.09</v>
      </c>
      <c r="F4" s="1">
        <v>112.70399999999999</v>
      </c>
      <c r="G4" s="1"/>
      <c r="H4" s="1"/>
      <c r="I4" s="1"/>
      <c r="J4" s="1"/>
      <c r="K4" s="1"/>
      <c r="L4" s="12">
        <f t="shared" ref="L4:L5" si="0">AVERAGE(B4:K4)</f>
        <v>114.38979999999999</v>
      </c>
      <c r="M4" s="11">
        <f t="shared" ref="M4:M5" si="1">2.262*_xlfn.STDEV.S(B4:K4)</f>
        <v>4.4566174631007787</v>
      </c>
      <c r="O4" s="5" t="s">
        <v>13</v>
      </c>
      <c r="P4" s="1">
        <v>112.48399999999999</v>
      </c>
      <c r="Q4" s="1">
        <v>112.968</v>
      </c>
      <c r="R4" s="1">
        <v>112.72199999999999</v>
      </c>
      <c r="S4" s="1">
        <v>111.455</v>
      </c>
      <c r="T4" s="1">
        <v>112.15900000000001</v>
      </c>
      <c r="U4" s="1"/>
      <c r="V4" s="1"/>
      <c r="W4" s="1"/>
      <c r="X4" s="1"/>
      <c r="Y4" s="1"/>
      <c r="Z4" s="12">
        <f t="shared" ref="Z4:Z5" si="2">AVERAGE(P4:Y4)</f>
        <v>112.35760000000001</v>
      </c>
      <c r="AA4" s="11">
        <f t="shared" ref="AA4:AA5" si="3">2.262*_xlfn.STDEV.S(P4:Y4)</f>
        <v>1.3264470993119926</v>
      </c>
    </row>
    <row r="5" spans="1:27" ht="15" thickBot="1" x14ac:dyDescent="0.35">
      <c r="A5" s="6" t="s">
        <v>14</v>
      </c>
      <c r="B5" s="2">
        <v>114.318</v>
      </c>
      <c r="C5" s="2">
        <v>112.38500000000001</v>
      </c>
      <c r="D5" s="2">
        <v>114.10899999999999</v>
      </c>
      <c r="E5" s="2">
        <v>114.509</v>
      </c>
      <c r="F5" s="2">
        <v>113.59</v>
      </c>
      <c r="G5" s="2"/>
      <c r="H5" s="2"/>
      <c r="I5" s="2"/>
      <c r="J5" s="2"/>
      <c r="K5" s="2"/>
      <c r="L5" s="13">
        <f t="shared" si="0"/>
        <v>113.78220000000002</v>
      </c>
      <c r="M5" s="14">
        <f t="shared" si="1"/>
        <v>1.9297481143182325</v>
      </c>
      <c r="O5" s="6" t="s">
        <v>14</v>
      </c>
      <c r="P5" s="2">
        <v>110.614</v>
      </c>
      <c r="Q5" s="2">
        <v>110.258</v>
      </c>
      <c r="R5" s="2">
        <v>110.41800000000001</v>
      </c>
      <c r="S5" s="2">
        <v>110.824</v>
      </c>
      <c r="T5" s="2">
        <v>110.68</v>
      </c>
      <c r="U5" s="2"/>
      <c r="V5" s="2"/>
      <c r="W5" s="2"/>
      <c r="X5" s="2"/>
      <c r="Y5" s="2"/>
      <c r="Z5" s="13">
        <f t="shared" si="2"/>
        <v>110.55880000000002</v>
      </c>
      <c r="AA5" s="14">
        <f t="shared" si="3"/>
        <v>0.50373678565378022</v>
      </c>
    </row>
    <row r="6" spans="1:27" ht="15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27" ht="15" thickBot="1" x14ac:dyDescent="0.35">
      <c r="A7" s="15">
        <v>0.1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7"/>
      <c r="O7" s="15">
        <v>0.15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7"/>
    </row>
    <row r="8" spans="1:27" ht="15" thickBot="1" x14ac:dyDescent="0.35">
      <c r="A8" s="9" t="s">
        <v>11</v>
      </c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8</v>
      </c>
      <c r="K8" s="2" t="s">
        <v>9</v>
      </c>
      <c r="L8" s="8" t="s">
        <v>10</v>
      </c>
      <c r="M8" s="7" t="s">
        <v>15</v>
      </c>
      <c r="O8" s="3" t="s">
        <v>11</v>
      </c>
      <c r="P8" s="4" t="s">
        <v>0</v>
      </c>
      <c r="Q8" s="4" t="s">
        <v>1</v>
      </c>
      <c r="R8" s="4" t="s">
        <v>2</v>
      </c>
      <c r="S8" s="4" t="s">
        <v>3</v>
      </c>
      <c r="T8" s="4" t="s">
        <v>4</v>
      </c>
      <c r="U8" s="4" t="s">
        <v>5</v>
      </c>
      <c r="V8" s="4" t="s">
        <v>6</v>
      </c>
      <c r="W8" s="4" t="s">
        <v>7</v>
      </c>
      <c r="X8" s="4" t="s">
        <v>8</v>
      </c>
      <c r="Y8" s="4" t="s">
        <v>9</v>
      </c>
      <c r="Z8" s="7" t="s">
        <v>10</v>
      </c>
      <c r="AA8" s="10" t="s">
        <v>15</v>
      </c>
    </row>
    <row r="9" spans="1:27" x14ac:dyDescent="0.3">
      <c r="A9" s="5" t="s">
        <v>12</v>
      </c>
      <c r="B9" s="1">
        <v>106.431</v>
      </c>
      <c r="C9" s="1">
        <v>106.93</v>
      </c>
      <c r="D9" s="1">
        <v>107.48699999999999</v>
      </c>
      <c r="E9" s="1">
        <v>107.121</v>
      </c>
      <c r="F9" s="1">
        <v>105.246</v>
      </c>
      <c r="G9" s="1"/>
      <c r="H9" s="1"/>
      <c r="I9" s="1"/>
      <c r="J9" s="1"/>
      <c r="K9" s="1"/>
      <c r="L9" s="12">
        <f>AVERAGE(B9:K9)</f>
        <v>106.64299999999999</v>
      </c>
      <c r="M9" s="11">
        <f>2.262*_xlfn.STDEV.S(B9:K9)</f>
        <v>1.9653844907452604</v>
      </c>
      <c r="O9" s="5" t="s">
        <v>12</v>
      </c>
      <c r="P9" s="1">
        <v>105.90900000000001</v>
      </c>
      <c r="Q9" s="1">
        <v>107.208</v>
      </c>
      <c r="R9" s="1">
        <v>107.38800000000001</v>
      </c>
      <c r="S9" s="1">
        <v>105.77800000000001</v>
      </c>
      <c r="T9" s="1">
        <v>106.998</v>
      </c>
      <c r="U9" s="1"/>
      <c r="V9" s="1"/>
      <c r="W9" s="1"/>
      <c r="X9" s="1"/>
      <c r="Y9" s="1"/>
      <c r="Z9" s="12">
        <f>AVERAGE(P9:Y9)</f>
        <v>106.65620000000001</v>
      </c>
      <c r="AA9" s="11">
        <f>2.262*_xlfn.STDEV.S(P9:Y9)</f>
        <v>1.7101620587396937</v>
      </c>
    </row>
    <row r="10" spans="1:27" x14ac:dyDescent="0.3">
      <c r="A10" s="5" t="s">
        <v>13</v>
      </c>
      <c r="B10" s="1">
        <v>107.511</v>
      </c>
      <c r="C10" s="1">
        <v>110.995</v>
      </c>
      <c r="D10" s="1">
        <v>106.68899999999999</v>
      </c>
      <c r="E10" s="1">
        <v>106.328</v>
      </c>
      <c r="F10" s="1">
        <v>109.998</v>
      </c>
      <c r="G10" s="1"/>
      <c r="H10" s="1"/>
      <c r="I10" s="1"/>
      <c r="J10" s="1"/>
      <c r="K10" s="1"/>
      <c r="L10" s="12">
        <f t="shared" ref="L10:L11" si="4">AVERAGE(B10:K10)</f>
        <v>108.30420000000001</v>
      </c>
      <c r="M10" s="11">
        <f t="shared" ref="M10:M11" si="5">2.262*_xlfn.STDEV.S(B10:K10)</f>
        <v>4.6977724969026404</v>
      </c>
      <c r="O10" s="5" t="s">
        <v>13</v>
      </c>
      <c r="P10" s="1">
        <v>107.42</v>
      </c>
      <c r="Q10" s="1">
        <v>109.089</v>
      </c>
      <c r="R10" s="1">
        <v>106.902</v>
      </c>
      <c r="S10" s="1">
        <v>104.809</v>
      </c>
      <c r="T10" s="1">
        <v>106.53100000000001</v>
      </c>
      <c r="U10" s="1"/>
      <c r="V10" s="1"/>
      <c r="W10" s="1"/>
      <c r="X10" s="1"/>
      <c r="Y10" s="1"/>
      <c r="Z10" s="12">
        <f t="shared" ref="Z10:Z11" si="6">AVERAGE(P10:Y10)</f>
        <v>106.9502</v>
      </c>
      <c r="AA10" s="11">
        <f t="shared" ref="AA10:AA11" si="7">2.262*_xlfn.STDEV.S(P10:Y10)</f>
        <v>3.4965952539370067</v>
      </c>
    </row>
    <row r="11" spans="1:27" ht="15" thickBot="1" x14ac:dyDescent="0.35">
      <c r="A11" s="6" t="s">
        <v>14</v>
      </c>
      <c r="B11" s="2">
        <v>107.78700000000001</v>
      </c>
      <c r="C11" s="2">
        <v>109.095</v>
      </c>
      <c r="D11" s="2">
        <v>108.461</v>
      </c>
      <c r="E11" s="2">
        <v>109.90900000000001</v>
      </c>
      <c r="F11" s="2">
        <v>107.886</v>
      </c>
      <c r="G11" s="2"/>
      <c r="H11" s="2"/>
      <c r="I11" s="2"/>
      <c r="J11" s="2"/>
      <c r="K11" s="2"/>
      <c r="L11" s="13">
        <f t="shared" si="4"/>
        <v>108.6276</v>
      </c>
      <c r="M11" s="14">
        <f t="shared" si="5"/>
        <v>2.0056629883644992</v>
      </c>
      <c r="O11" s="6" t="s">
        <v>14</v>
      </c>
      <c r="P11" s="2">
        <v>106.08199999999999</v>
      </c>
      <c r="Q11" s="2">
        <v>106.03400000000001</v>
      </c>
      <c r="R11" s="2">
        <v>106.709</v>
      </c>
      <c r="S11" s="2">
        <v>106.70399999999999</v>
      </c>
      <c r="T11" s="2">
        <v>107.14400000000001</v>
      </c>
      <c r="U11" s="2"/>
      <c r="V11" s="2"/>
      <c r="W11" s="2"/>
      <c r="X11" s="2"/>
      <c r="Y11" s="2"/>
      <c r="Z11" s="13">
        <f t="shared" si="6"/>
        <v>106.5346</v>
      </c>
      <c r="AA11" s="14">
        <f t="shared" si="7"/>
        <v>1.0645391129870272</v>
      </c>
    </row>
    <row r="12" spans="1:27" ht="15" thickBo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27" ht="15" thickBot="1" x14ac:dyDescent="0.35">
      <c r="A13" s="15">
        <v>0.2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7"/>
      <c r="O13" s="15">
        <v>0.25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7"/>
    </row>
    <row r="14" spans="1:27" ht="15" thickBot="1" x14ac:dyDescent="0.35">
      <c r="A14" s="9" t="s">
        <v>11</v>
      </c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8</v>
      </c>
      <c r="K14" s="2" t="s">
        <v>9</v>
      </c>
      <c r="L14" s="8" t="s">
        <v>10</v>
      </c>
      <c r="M14" s="7" t="s">
        <v>15</v>
      </c>
      <c r="O14" s="3" t="s">
        <v>11</v>
      </c>
      <c r="P14" s="4" t="s">
        <v>0</v>
      </c>
      <c r="Q14" s="4" t="s">
        <v>1</v>
      </c>
      <c r="R14" s="4" t="s">
        <v>2</v>
      </c>
      <c r="S14" s="4" t="s">
        <v>3</v>
      </c>
      <c r="T14" s="4" t="s">
        <v>4</v>
      </c>
      <c r="U14" s="4" t="s">
        <v>5</v>
      </c>
      <c r="V14" s="4" t="s">
        <v>6</v>
      </c>
      <c r="W14" s="4" t="s">
        <v>7</v>
      </c>
      <c r="X14" s="4" t="s">
        <v>8</v>
      </c>
      <c r="Y14" s="4" t="s">
        <v>9</v>
      </c>
      <c r="Z14" s="7" t="s">
        <v>10</v>
      </c>
      <c r="AA14" s="10" t="s">
        <v>15</v>
      </c>
    </row>
    <row r="15" spans="1:27" x14ac:dyDescent="0.3">
      <c r="A15" s="5" t="s">
        <v>12</v>
      </c>
      <c r="B15" s="1">
        <v>106.099</v>
      </c>
      <c r="C15" s="1">
        <v>107.11</v>
      </c>
      <c r="D15" s="1">
        <v>105.813</v>
      </c>
      <c r="E15" s="1">
        <v>105.76600000000001</v>
      </c>
      <c r="F15" s="1">
        <v>107.925</v>
      </c>
      <c r="G15" s="1">
        <v>107.44799999999999</v>
      </c>
      <c r="H15" s="1"/>
      <c r="I15" s="1"/>
      <c r="J15" s="1"/>
      <c r="K15" s="1"/>
      <c r="L15" s="12">
        <f>AVERAGE(B15:K15)</f>
        <v>106.69349999999999</v>
      </c>
      <c r="M15" s="11">
        <f>2.262*_xlfn.STDEV.S(B15:K15)</f>
        <v>2.085044190426947</v>
      </c>
      <c r="O15" s="5" t="s">
        <v>12</v>
      </c>
      <c r="P15" s="1">
        <v>107.545</v>
      </c>
      <c r="Q15" s="1">
        <v>106.99299999999999</v>
      </c>
      <c r="R15" s="1">
        <v>104.26</v>
      </c>
      <c r="S15" s="1">
        <v>106.742</v>
      </c>
      <c r="T15" s="1">
        <v>109.068</v>
      </c>
      <c r="U15" s="1"/>
      <c r="V15" s="1"/>
      <c r="W15" s="1"/>
      <c r="X15" s="1"/>
      <c r="Y15" s="1"/>
      <c r="Z15" s="12">
        <f>AVERAGE(P15:Y15)</f>
        <v>106.92160000000001</v>
      </c>
      <c r="AA15" s="11">
        <f>2.262*_xlfn.STDEV.S(P15:Y15)</f>
        <v>3.9369733431407883</v>
      </c>
    </row>
    <row r="16" spans="1:27" x14ac:dyDescent="0.3">
      <c r="A16" s="5" t="s">
        <v>13</v>
      </c>
      <c r="B16" s="1">
        <v>106.816</v>
      </c>
      <c r="C16" s="1">
        <v>107.29300000000001</v>
      </c>
      <c r="D16" s="1">
        <v>107.55500000000001</v>
      </c>
      <c r="E16" s="1">
        <v>106.05500000000001</v>
      </c>
      <c r="F16" s="1">
        <v>105.50700000000001</v>
      </c>
      <c r="G16" s="1"/>
      <c r="H16" s="1"/>
      <c r="I16" s="1"/>
      <c r="J16" s="1"/>
      <c r="K16" s="1"/>
      <c r="L16" s="12">
        <f t="shared" ref="L16:L17" si="8">AVERAGE(B16:K16)</f>
        <v>106.6452</v>
      </c>
      <c r="M16" s="11">
        <f t="shared" ref="M16:M17" si="9">2.262*_xlfn.STDEV.S(B16:K16)</f>
        <v>1.9327823099865133</v>
      </c>
      <c r="O16" s="5" t="s">
        <v>13</v>
      </c>
      <c r="P16" s="1">
        <v>107.405</v>
      </c>
      <c r="Q16" s="1">
        <v>102.76900000000001</v>
      </c>
      <c r="R16" s="1">
        <v>105.441</v>
      </c>
      <c r="S16" s="1">
        <v>104.02200000000001</v>
      </c>
      <c r="T16" s="1">
        <v>105.343</v>
      </c>
      <c r="U16" s="1"/>
      <c r="V16" s="1"/>
      <c r="W16" s="1"/>
      <c r="X16" s="1"/>
      <c r="Y16" s="1"/>
      <c r="Z16" s="12">
        <f t="shared" ref="Z16:Z17" si="10">AVERAGE(P16:Y16)</f>
        <v>104.99600000000001</v>
      </c>
      <c r="AA16" s="11">
        <f t="shared" ref="AA16:AA17" si="11">2.262*_xlfn.STDEV.S(P16:Y16)</f>
        <v>3.9227801999500262</v>
      </c>
    </row>
    <row r="17" spans="1:27" ht="15" thickBot="1" x14ac:dyDescent="0.35">
      <c r="A17" s="6" t="s">
        <v>14</v>
      </c>
      <c r="B17" s="2">
        <v>106.355</v>
      </c>
      <c r="C17" s="2">
        <v>105.392</v>
      </c>
      <c r="D17" s="2">
        <v>107.252</v>
      </c>
      <c r="E17" s="2">
        <v>105.04900000000001</v>
      </c>
      <c r="F17" s="2">
        <v>106.39400000000001</v>
      </c>
      <c r="G17" s="2"/>
      <c r="H17" s="2"/>
      <c r="I17" s="2"/>
      <c r="J17" s="2"/>
      <c r="K17" s="2"/>
      <c r="L17" s="13">
        <f t="shared" si="8"/>
        <v>106.08840000000001</v>
      </c>
      <c r="M17" s="14">
        <f t="shared" si="9"/>
        <v>1.9861072336883481</v>
      </c>
      <c r="O17" s="6" t="s">
        <v>14</v>
      </c>
      <c r="P17" s="2">
        <v>104.95699999999999</v>
      </c>
      <c r="Q17" s="2">
        <v>105.261</v>
      </c>
      <c r="R17" s="2">
        <v>104.554</v>
      </c>
      <c r="S17" s="2">
        <v>103.858</v>
      </c>
      <c r="T17" s="2">
        <v>106.89400000000001</v>
      </c>
      <c r="U17" s="2"/>
      <c r="V17" s="2"/>
      <c r="W17" s="2"/>
      <c r="X17" s="2"/>
      <c r="Y17" s="2"/>
      <c r="Z17" s="13">
        <f t="shared" si="10"/>
        <v>105.1048</v>
      </c>
      <c r="AA17" s="14">
        <f t="shared" si="11"/>
        <v>2.5555021459389953</v>
      </c>
    </row>
    <row r="18" spans="1:27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27" ht="15" thickBot="1" x14ac:dyDescent="0.35">
      <c r="A19" s="15">
        <v>0.3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7"/>
      <c r="O19" s="15">
        <v>0.35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ht="15" thickBot="1" x14ac:dyDescent="0.35">
      <c r="A20" s="9" t="s">
        <v>11</v>
      </c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8</v>
      </c>
      <c r="K20" s="2" t="s">
        <v>9</v>
      </c>
      <c r="L20" s="8" t="s">
        <v>10</v>
      </c>
      <c r="M20" s="8" t="s">
        <v>15</v>
      </c>
      <c r="O20" s="3" t="s">
        <v>11</v>
      </c>
      <c r="P20" s="4" t="s">
        <v>0</v>
      </c>
      <c r="Q20" s="4" t="s">
        <v>1</v>
      </c>
      <c r="R20" s="4" t="s">
        <v>2</v>
      </c>
      <c r="S20" s="4" t="s">
        <v>3</v>
      </c>
      <c r="T20" s="4" t="s">
        <v>4</v>
      </c>
      <c r="U20" s="4" t="s">
        <v>5</v>
      </c>
      <c r="V20" s="4" t="s">
        <v>6</v>
      </c>
      <c r="W20" s="4" t="s">
        <v>7</v>
      </c>
      <c r="X20" s="4" t="s">
        <v>8</v>
      </c>
      <c r="Y20" s="4" t="s">
        <v>9</v>
      </c>
      <c r="Z20" s="7" t="s">
        <v>10</v>
      </c>
      <c r="AA20" s="10" t="s">
        <v>15</v>
      </c>
    </row>
    <row r="21" spans="1:27" x14ac:dyDescent="0.3">
      <c r="A21" s="5" t="s">
        <v>12</v>
      </c>
      <c r="B21" s="1">
        <v>104.37</v>
      </c>
      <c r="C21" s="1">
        <v>106.441</v>
      </c>
      <c r="D21" s="1">
        <v>106.1</v>
      </c>
      <c r="E21" s="1">
        <v>106.64400000000001</v>
      </c>
      <c r="F21" s="1">
        <v>105.117</v>
      </c>
      <c r="G21" s="1"/>
      <c r="H21" s="1"/>
      <c r="I21" s="1"/>
      <c r="J21" s="1"/>
      <c r="K21" s="1"/>
      <c r="L21" s="12">
        <f>AVERAGE(B21:K21)</f>
        <v>105.73440000000001</v>
      </c>
      <c r="M21" s="11">
        <f>2.262*_xlfn.STDEV.S(B21:K21)</f>
        <v>2.1764299400994256</v>
      </c>
      <c r="O21" s="5" t="s">
        <v>12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2" t="e">
        <f>AVERAGE(P21:Y21)</f>
        <v>#DIV/0!</v>
      </c>
      <c r="AA21" s="11" t="e">
        <f>2.262*_xlfn.STDEV.S(P21:Y21)</f>
        <v>#DIV/0!</v>
      </c>
    </row>
    <row r="22" spans="1:27" x14ac:dyDescent="0.3">
      <c r="A22" s="5" t="s">
        <v>13</v>
      </c>
      <c r="B22" s="1">
        <v>104.57899999999999</v>
      </c>
      <c r="C22" s="1">
        <v>102.904</v>
      </c>
      <c r="D22" s="1">
        <v>100.34099999999999</v>
      </c>
      <c r="E22" s="1">
        <v>101.322</v>
      </c>
      <c r="F22" s="1">
        <v>103.298</v>
      </c>
      <c r="G22" s="1"/>
      <c r="H22" s="1"/>
      <c r="I22" s="1"/>
      <c r="J22" s="1"/>
      <c r="K22" s="1"/>
      <c r="L22" s="12">
        <f t="shared" ref="L22:L23" si="12">AVERAGE(B22:K22)</f>
        <v>102.4888</v>
      </c>
      <c r="M22" s="11">
        <f t="shared" ref="M22:M23" si="13">2.262*_xlfn.STDEV.S(B22:K22)</f>
        <v>3.7800786144744123</v>
      </c>
      <c r="O22" s="5" t="s">
        <v>13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2" t="e">
        <f t="shared" ref="Z22:Z23" si="14">AVERAGE(P22:Y22)</f>
        <v>#DIV/0!</v>
      </c>
      <c r="AA22" s="11" t="e">
        <f t="shared" ref="AA22:AA23" si="15">2.262*_xlfn.STDEV.S(P22:Y22)</f>
        <v>#DIV/0!</v>
      </c>
    </row>
    <row r="23" spans="1:27" ht="15" thickBot="1" x14ac:dyDescent="0.35">
      <c r="A23" s="6" t="s">
        <v>14</v>
      </c>
      <c r="B23" s="2">
        <v>104.18600000000001</v>
      </c>
      <c r="C23" s="2">
        <v>104.136</v>
      </c>
      <c r="D23" s="2">
        <v>103.98</v>
      </c>
      <c r="E23" s="2">
        <v>102.523</v>
      </c>
      <c r="F23" s="2">
        <v>103.83199999999999</v>
      </c>
      <c r="G23" s="2"/>
      <c r="H23" s="2"/>
      <c r="I23" s="2"/>
      <c r="J23" s="2"/>
      <c r="K23" s="2"/>
      <c r="L23" s="13">
        <f t="shared" si="12"/>
        <v>103.73140000000001</v>
      </c>
      <c r="M23" s="14">
        <f t="shared" si="13"/>
        <v>1.5600074505422135</v>
      </c>
      <c r="O23" s="6" t="s">
        <v>14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13" t="e">
        <f t="shared" si="14"/>
        <v>#DIV/0!</v>
      </c>
      <c r="AA23" s="14" t="e">
        <f t="shared" si="15"/>
        <v>#DIV/0!</v>
      </c>
    </row>
    <row r="24" spans="1:27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27" ht="15" thickBot="1" x14ac:dyDescent="0.35">
      <c r="A25" s="15">
        <v>0.4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/>
      <c r="O25" s="15">
        <v>0.45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27" ht="15" thickBot="1" x14ac:dyDescent="0.35">
      <c r="A26" s="9" t="s">
        <v>11</v>
      </c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8</v>
      </c>
      <c r="K26" s="2" t="s">
        <v>9</v>
      </c>
      <c r="L26" s="8" t="s">
        <v>10</v>
      </c>
      <c r="M26" s="7" t="s">
        <v>15</v>
      </c>
      <c r="O26" s="3" t="s">
        <v>11</v>
      </c>
      <c r="P26" s="4" t="s">
        <v>0</v>
      </c>
      <c r="Q26" s="4" t="s">
        <v>1</v>
      </c>
      <c r="R26" s="4" t="s">
        <v>2</v>
      </c>
      <c r="S26" s="4" t="s">
        <v>3</v>
      </c>
      <c r="T26" s="4" t="s">
        <v>4</v>
      </c>
      <c r="U26" s="4" t="s">
        <v>5</v>
      </c>
      <c r="V26" s="4" t="s">
        <v>6</v>
      </c>
      <c r="W26" s="4" t="s">
        <v>7</v>
      </c>
      <c r="X26" s="4" t="s">
        <v>8</v>
      </c>
      <c r="Y26" s="4" t="s">
        <v>9</v>
      </c>
      <c r="Z26" s="7" t="s">
        <v>10</v>
      </c>
      <c r="AA26" s="10" t="s">
        <v>15</v>
      </c>
    </row>
    <row r="27" spans="1:27" x14ac:dyDescent="0.3">
      <c r="A27" s="5" t="s">
        <v>12</v>
      </c>
      <c r="B27" s="1">
        <v>106.02</v>
      </c>
      <c r="C27" s="1">
        <v>104.538</v>
      </c>
      <c r="D27" s="1">
        <v>104.417</v>
      </c>
      <c r="E27" s="1">
        <v>105.313</v>
      </c>
      <c r="F27" s="1">
        <v>106.03700000000001</v>
      </c>
      <c r="G27" s="1"/>
      <c r="H27" s="1"/>
      <c r="I27" s="1"/>
      <c r="J27" s="1"/>
      <c r="K27" s="1"/>
      <c r="L27" s="12">
        <f>AVERAGE(B27:K27)</f>
        <v>105.26500000000001</v>
      </c>
      <c r="M27" s="11">
        <f>2.262*_xlfn.STDEV.S(B27:K27)</f>
        <v>1.7579487766445323</v>
      </c>
      <c r="O27" s="5" t="s">
        <v>12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2" t="e">
        <f>AVERAGE(P27:Y27)</f>
        <v>#DIV/0!</v>
      </c>
      <c r="AA27" s="11" t="e">
        <f>2.262*_xlfn.STDEV.S(P27:Y27)</f>
        <v>#DIV/0!</v>
      </c>
    </row>
    <row r="28" spans="1:27" x14ac:dyDescent="0.3">
      <c r="A28" s="5" t="s">
        <v>13</v>
      </c>
      <c r="B28" s="1">
        <v>102.361</v>
      </c>
      <c r="C28" s="1">
        <v>100.163</v>
      </c>
      <c r="D28" s="1">
        <v>98.878399999999999</v>
      </c>
      <c r="E28" s="1">
        <v>99.805999999999997</v>
      </c>
      <c r="F28" s="1">
        <v>102.04</v>
      </c>
      <c r="G28" s="1"/>
      <c r="H28" s="1"/>
      <c r="I28" s="1"/>
      <c r="J28" s="1"/>
      <c r="K28" s="1"/>
      <c r="L28" s="12">
        <f t="shared" ref="L28:L29" si="16">AVERAGE(B28:K28)</f>
        <v>100.64968</v>
      </c>
      <c r="M28" s="11">
        <f t="shared" ref="M28:M29" si="17">2.262*_xlfn.STDEV.S(B28:K28)</f>
        <v>3.3831255826250053</v>
      </c>
      <c r="O28" s="5" t="s">
        <v>13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2" t="e">
        <f t="shared" ref="Z28:Z29" si="18">AVERAGE(P28:Y28)</f>
        <v>#DIV/0!</v>
      </c>
      <c r="AA28" s="11" t="e">
        <f t="shared" ref="AA28:AA29" si="19">2.262*_xlfn.STDEV.S(P28:Y28)</f>
        <v>#DIV/0!</v>
      </c>
    </row>
    <row r="29" spans="1:27" ht="15" thickBot="1" x14ac:dyDescent="0.35">
      <c r="A29" s="6" t="s">
        <v>14</v>
      </c>
      <c r="B29" s="2">
        <v>101.72799999999999</v>
      </c>
      <c r="C29" s="2">
        <v>101.71899999999999</v>
      </c>
      <c r="D29" s="2">
        <v>102.818</v>
      </c>
      <c r="E29" s="2">
        <v>103.14100000000001</v>
      </c>
      <c r="F29" s="2">
        <v>101.767</v>
      </c>
      <c r="G29" s="2"/>
      <c r="H29" s="2"/>
      <c r="I29" s="2"/>
      <c r="J29" s="2"/>
      <c r="K29" s="2"/>
      <c r="L29" s="13">
        <f t="shared" si="16"/>
        <v>102.2346</v>
      </c>
      <c r="M29" s="14">
        <f t="shared" si="17"/>
        <v>1.5602280071724226</v>
      </c>
      <c r="O29" s="6" t="s">
        <v>14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13" t="e">
        <f t="shared" si="18"/>
        <v>#DIV/0!</v>
      </c>
      <c r="AA29" s="14" t="e">
        <f t="shared" si="19"/>
        <v>#DIV/0!</v>
      </c>
    </row>
    <row r="30" spans="1:27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7" ht="15" thickBot="1" x14ac:dyDescent="0.35">
      <c r="A31" s="15">
        <v>0.5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7"/>
    </row>
    <row r="32" spans="1:27" ht="15" thickBot="1" x14ac:dyDescent="0.35">
      <c r="A32" s="9" t="s">
        <v>11</v>
      </c>
      <c r="B32" s="2" t="s">
        <v>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8</v>
      </c>
      <c r="K32" s="2" t="s">
        <v>9</v>
      </c>
      <c r="L32" s="8" t="s">
        <v>10</v>
      </c>
      <c r="M32" s="7" t="s">
        <v>15</v>
      </c>
    </row>
    <row r="33" spans="1:13" x14ac:dyDescent="0.3">
      <c r="A33" s="5" t="s">
        <v>12</v>
      </c>
      <c r="B33" s="1">
        <v>104.379</v>
      </c>
      <c r="C33" s="1">
        <v>102.55800000000001</v>
      </c>
      <c r="D33" s="1">
        <v>102.946</v>
      </c>
      <c r="E33" s="1">
        <v>103.193</v>
      </c>
      <c r="F33" s="1">
        <v>104.151</v>
      </c>
      <c r="G33" s="1"/>
      <c r="H33" s="1"/>
      <c r="I33" s="1"/>
      <c r="J33" s="1"/>
      <c r="K33" s="1"/>
      <c r="L33" s="12">
        <f>AVERAGE(B33:K33)</f>
        <v>103.44539999999999</v>
      </c>
      <c r="M33" s="11">
        <f>2.262*_xlfn.STDEV.S(B33:K33)</f>
        <v>1.7775294853524071</v>
      </c>
    </row>
    <row r="34" spans="1:13" x14ac:dyDescent="0.3">
      <c r="A34" s="5" t="s">
        <v>13</v>
      </c>
      <c r="B34" s="1">
        <v>100.13800000000001</v>
      </c>
      <c r="C34" s="1">
        <v>95.258600000000001</v>
      </c>
      <c r="D34" s="1">
        <v>96.7119</v>
      </c>
      <c r="E34" s="1">
        <v>95.967600000000004</v>
      </c>
      <c r="F34" s="1">
        <v>99.165300000000002</v>
      </c>
      <c r="G34" s="1"/>
      <c r="H34" s="1"/>
      <c r="I34" s="1"/>
      <c r="J34" s="1"/>
      <c r="K34" s="1"/>
      <c r="L34" s="12">
        <f t="shared" ref="L34:L35" si="20">AVERAGE(B34:K34)</f>
        <v>97.448279999999997</v>
      </c>
      <c r="M34" s="11">
        <f t="shared" ref="M34:M35" si="21">2.262*_xlfn.STDEV.S(B34:K34)</f>
        <v>4.7599003536115259</v>
      </c>
    </row>
    <row r="35" spans="1:13" ht="15" thickBot="1" x14ac:dyDescent="0.35">
      <c r="A35" s="6" t="s">
        <v>14</v>
      </c>
      <c r="B35" s="2">
        <v>100.504</v>
      </c>
      <c r="C35" s="2">
        <v>99.184299999999993</v>
      </c>
      <c r="D35" s="2">
        <v>99.509200000000007</v>
      </c>
      <c r="E35" s="2">
        <v>99.01</v>
      </c>
      <c r="F35" s="2">
        <v>99.846199999999996</v>
      </c>
      <c r="G35" s="2"/>
      <c r="H35" s="2"/>
      <c r="I35" s="2"/>
      <c r="J35" s="2"/>
      <c r="K35" s="2"/>
      <c r="L35" s="13">
        <f t="shared" si="20"/>
        <v>99.610739999999993</v>
      </c>
      <c r="M35" s="14">
        <f t="shared" si="21"/>
        <v>1.3412748455502914</v>
      </c>
    </row>
  </sheetData>
  <mergeCells count="11">
    <mergeCell ref="A31:M31"/>
    <mergeCell ref="A7:M7"/>
    <mergeCell ref="A1:M1"/>
    <mergeCell ref="A13:M13"/>
    <mergeCell ref="A19:M19"/>
    <mergeCell ref="A25:M25"/>
    <mergeCell ref="O1:AA1"/>
    <mergeCell ref="O7:AA7"/>
    <mergeCell ref="O13:AA13"/>
    <mergeCell ref="O19:AA19"/>
    <mergeCell ref="O25:AA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2025-02-25T01:44:40Z</dcterms:modified>
</cp:coreProperties>
</file>