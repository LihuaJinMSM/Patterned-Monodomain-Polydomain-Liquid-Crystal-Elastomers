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ny\Desktop\UCLA\Research\Inclusion\TCP\45_0_3\Results\"/>
    </mc:Choice>
  </mc:AlternateContent>
  <xr:revisionPtr revIDLastSave="0" documentId="13_ncr:1_{8EED7D65-556C-45CA-B808-5F09102EFA86}" xr6:coauthVersionLast="47" xr6:coauthVersionMax="47" xr10:uidLastSave="{00000000-0000-0000-0000-000000000000}"/>
  <bookViews>
    <workbookView xWindow="11424" yWindow="0" windowWidth="11712" windowHeight="13056" xr2:uid="{66E62358-73E3-416C-AC71-A610C352C0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L45" i="1"/>
  <c r="L38" i="1"/>
  <c r="L39" i="1"/>
  <c r="L32" i="1"/>
  <c r="L33" i="1"/>
  <c r="M44" i="1"/>
  <c r="M45" i="1"/>
  <c r="M38" i="1"/>
  <c r="M39" i="1"/>
  <c r="M32" i="1"/>
  <c r="M33" i="1"/>
  <c r="M26" i="1"/>
  <c r="M27" i="1"/>
  <c r="L26" i="1"/>
  <c r="L27" i="1"/>
  <c r="M43" i="1"/>
  <c r="M37" i="1"/>
  <c r="M31" i="1"/>
  <c r="M25" i="1"/>
  <c r="L43" i="1"/>
  <c r="L37" i="1"/>
  <c r="L31" i="1"/>
  <c r="L25" i="1"/>
  <c r="M20" i="1"/>
  <c r="M21" i="1"/>
  <c r="M19" i="1"/>
  <c r="L20" i="1"/>
  <c r="L21" i="1"/>
  <c r="L19" i="1"/>
  <c r="M14" i="1"/>
  <c r="M15" i="1"/>
  <c r="M13" i="1"/>
  <c r="L14" i="1"/>
  <c r="L15" i="1"/>
  <c r="L13" i="1"/>
</calcChain>
</file>

<file path=xl/sharedStrings.xml><?xml version="1.0" encoding="utf-8"?>
<sst xmlns="http://schemas.openxmlformats.org/spreadsheetml/2006/main" count="114" uniqueCount="26">
  <si>
    <t>Location</t>
  </si>
  <si>
    <t>A</t>
  </si>
  <si>
    <t>B</t>
  </si>
  <si>
    <t>C</t>
  </si>
  <si>
    <t>D</t>
  </si>
  <si>
    <t>E</t>
  </si>
  <si>
    <t>45-135</t>
  </si>
  <si>
    <t>Top Left</t>
  </si>
  <si>
    <t>Top Right</t>
  </si>
  <si>
    <t>Bot-Left</t>
  </si>
  <si>
    <t>Bot-Right</t>
  </si>
  <si>
    <t>Center</t>
  </si>
  <si>
    <t>45-0</t>
  </si>
  <si>
    <t>Reading 1</t>
  </si>
  <si>
    <t>Reading 2</t>
  </si>
  <si>
    <t>Reading 3</t>
  </si>
  <si>
    <t>Reading 4</t>
  </si>
  <si>
    <t>Reading 5</t>
  </si>
  <si>
    <t>Reading 6</t>
  </si>
  <si>
    <t>Reading 7</t>
  </si>
  <si>
    <t>Reading 8</t>
  </si>
  <si>
    <t>Reading 9</t>
  </si>
  <si>
    <t>Reading 10</t>
  </si>
  <si>
    <t>Average</t>
  </si>
  <si>
    <t>Error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</si>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</sst>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color theme="1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7" xfId="0" applyNumberForma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4F70C-F7A3-4ADD-982E-680EFCCE9706}">
  <dimension ref="A1:P45"/>
  <sheetViews>
    <sheetView tabSelected="1" topLeftCell="G4" workbookViewId="0">
      <selection activeCell="O17" sqref="O17"/>
    </sheetView>
  </sheetViews>
  <sheetFormatPr defaultRowHeight="14.4"/>
  <cols>
    <col min="12" max="12" width="9.5546875" bestFit="1" customWidth="1"/>
    <col min="13" max="13" width="9" bestFit="1" customWidth="1"/>
  </cols>
  <sheetData>
    <row r="1" spans="1:16">
      <c r="A1" s="7" t="s">
        <v>12</v>
      </c>
      <c r="B1" s="8"/>
      <c r="C1" s="8"/>
      <c r="D1" s="9"/>
      <c r="E1" s="7" t="s">
        <v>6</v>
      </c>
      <c r="F1" s="8"/>
      <c r="G1" s="8"/>
      <c r="H1" s="8"/>
      <c r="I1" s="8"/>
      <c r="J1" s="9"/>
    </row>
    <row r="2" spans="1:16">
      <c r="A2" s="1"/>
      <c r="D2" s="2"/>
      <c r="E2" s="1"/>
      <c r="F2" t="s">
        <v>7</v>
      </c>
      <c r="G2" t="s">
        <v>8</v>
      </c>
      <c r="H2" t="s">
        <v>10</v>
      </c>
      <c r="I2" t="s">
        <v>9</v>
      </c>
      <c r="J2" s="2" t="s">
        <v>11</v>
      </c>
    </row>
    <row r="3" spans="1:16">
      <c r="A3" s="1" t="s">
        <v>0</v>
      </c>
      <c r="B3" t="s">
        <v>1</v>
      </c>
      <c r="C3" t="s">
        <v>2</v>
      </c>
      <c r="D3" s="2" t="s">
        <v>3</v>
      </c>
      <c r="E3" s="1" t="s">
        <v>0</v>
      </c>
      <c r="F3" t="s">
        <v>1</v>
      </c>
      <c r="G3" t="s">
        <v>2</v>
      </c>
      <c r="H3" t="s">
        <v>3</v>
      </c>
      <c r="I3" t="s">
        <v>4</v>
      </c>
      <c r="J3" s="2" t="s">
        <v>5</v>
      </c>
    </row>
    <row r="4" spans="1:16">
      <c r="A4" s="1">
        <v>0</v>
      </c>
      <c r="B4">
        <v>49.5</v>
      </c>
      <c r="C4">
        <v>43.5</v>
      </c>
      <c r="D4" s="2">
        <v>47.2</v>
      </c>
      <c r="E4" s="1">
        <v>0</v>
      </c>
      <c r="F4">
        <v>85.5</v>
      </c>
      <c r="G4">
        <v>149.6</v>
      </c>
      <c r="H4">
        <v>92.9</v>
      </c>
      <c r="I4">
        <v>151.30000000000001</v>
      </c>
      <c r="J4" s="2">
        <v>133.19999999999999</v>
      </c>
    </row>
    <row r="5" spans="1:16">
      <c r="A5" s="1">
        <v>10</v>
      </c>
      <c r="B5">
        <v>59.7</v>
      </c>
      <c r="C5">
        <v>45.8</v>
      </c>
      <c r="D5" s="2">
        <v>63.5</v>
      </c>
      <c r="E5" s="1">
        <v>10</v>
      </c>
      <c r="F5">
        <v>88.9</v>
      </c>
      <c r="G5">
        <v>122.5</v>
      </c>
      <c r="H5">
        <v>88.7</v>
      </c>
      <c r="I5">
        <v>124.2</v>
      </c>
      <c r="J5" s="2">
        <v>120.3</v>
      </c>
    </row>
    <row r="6" spans="1:16">
      <c r="A6" s="1">
        <v>20</v>
      </c>
      <c r="B6">
        <v>63.8</v>
      </c>
      <c r="C6">
        <v>46.7</v>
      </c>
      <c r="D6" s="2">
        <v>71.900000000000006</v>
      </c>
      <c r="E6" s="1">
        <v>20</v>
      </c>
      <c r="F6">
        <v>97.9</v>
      </c>
      <c r="G6">
        <v>111.6</v>
      </c>
      <c r="H6">
        <v>89.4</v>
      </c>
      <c r="I6">
        <v>111.6</v>
      </c>
      <c r="J6" s="2">
        <v>116.3</v>
      </c>
    </row>
    <row r="7" spans="1:16">
      <c r="A7" s="1">
        <v>30</v>
      </c>
      <c r="B7">
        <v>69.3</v>
      </c>
      <c r="C7">
        <v>47.4</v>
      </c>
      <c r="D7" s="2">
        <v>80.5</v>
      </c>
      <c r="E7" s="1">
        <v>30</v>
      </c>
      <c r="F7">
        <v>92.9</v>
      </c>
      <c r="G7">
        <v>116.9</v>
      </c>
      <c r="H7">
        <v>89.2</v>
      </c>
      <c r="I7">
        <v>112.1</v>
      </c>
      <c r="J7" s="2">
        <v>114.6</v>
      </c>
    </row>
    <row r="8" spans="1:16">
      <c r="A8" s="1">
        <v>40</v>
      </c>
      <c r="B8">
        <v>75.900000000000006</v>
      </c>
      <c r="C8">
        <v>57</v>
      </c>
      <c r="D8" s="2">
        <v>96.2</v>
      </c>
      <c r="E8" s="1">
        <v>40</v>
      </c>
      <c r="F8">
        <v>95.6</v>
      </c>
      <c r="G8">
        <v>117.2</v>
      </c>
      <c r="H8">
        <v>95.3</v>
      </c>
      <c r="I8">
        <v>103.2</v>
      </c>
      <c r="J8" s="2">
        <v>110.9</v>
      </c>
    </row>
    <row r="9" spans="1:16" ht="15" thickBot="1">
      <c r="A9" s="3">
        <v>50</v>
      </c>
      <c r="B9" s="4">
        <v>80.7</v>
      </c>
      <c r="C9" s="4">
        <v>64.8</v>
      </c>
      <c r="D9" s="5">
        <v>102.6</v>
      </c>
      <c r="E9" s="3">
        <v>50</v>
      </c>
      <c r="F9" s="4">
        <v>93.1</v>
      </c>
      <c r="G9" s="4">
        <v>114.8</v>
      </c>
      <c r="H9" s="6">
        <v>95</v>
      </c>
      <c r="I9" s="4">
        <v>100.5</v>
      </c>
      <c r="J9" s="5">
        <v>106.2</v>
      </c>
    </row>
    <row r="11" spans="1:16">
      <c r="A11" s="10">
        <v>0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6">
      <c r="A12" t="s">
        <v>0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s">
        <v>20</v>
      </c>
      <c r="J12" t="s">
        <v>21</v>
      </c>
      <c r="K12" t="s">
        <v>22</v>
      </c>
      <c r="L12" t="s">
        <v>23</v>
      </c>
      <c r="M12" t="s">
        <v>24</v>
      </c>
    </row>
    <row r="13" spans="1:16">
      <c r="A13" t="s">
        <v>1</v>
      </c>
      <c r="B13">
        <v>48.8003</v>
      </c>
      <c r="C13">
        <v>50.006700000000002</v>
      </c>
      <c r="D13">
        <v>49.793599999999998</v>
      </c>
      <c r="E13">
        <v>48.961100000000002</v>
      </c>
      <c r="F13">
        <v>49.793599999999998</v>
      </c>
      <c r="L13" s="11">
        <f>AVERAGE(B13:K13)</f>
        <v>49.471059999999994</v>
      </c>
      <c r="M13" s="11">
        <f>_xlfn.STDEV.S(B13:K13)*P$13</f>
        <v>1.4110975670707677</v>
      </c>
      <c r="O13" t="s">
        <v>25</v>
      </c>
      <c r="P13">
        <v>2.5710000000000002</v>
      </c>
    </row>
    <row r="14" spans="1:16">
      <c r="A14" t="s">
        <v>2</v>
      </c>
      <c r="B14">
        <v>44.354500000000002</v>
      </c>
      <c r="C14">
        <v>44.607700000000001</v>
      </c>
      <c r="D14">
        <v>43.354700000000001</v>
      </c>
      <c r="E14">
        <v>45.52</v>
      </c>
      <c r="F14">
        <v>44.497700000000002</v>
      </c>
      <c r="L14" s="11">
        <f t="shared" ref="L14:L15" si="0">AVERAGE(B14:K14)</f>
        <v>44.466920000000002</v>
      </c>
      <c r="M14" s="11">
        <f t="shared" ref="M14:M15" si="1">_xlfn.STDEV.S(B14:K14)*P$13</f>
        <v>1.9829292682616693</v>
      </c>
      <c r="P14">
        <v>2.2280000000000002</v>
      </c>
    </row>
    <row r="15" spans="1:16">
      <c r="A15" t="s">
        <v>3</v>
      </c>
      <c r="B15">
        <v>47.2378</v>
      </c>
      <c r="C15">
        <v>47.2378</v>
      </c>
      <c r="D15">
        <v>48.349699999999999</v>
      </c>
      <c r="E15">
        <v>47.600700000000003</v>
      </c>
      <c r="F15">
        <v>47.769500000000001</v>
      </c>
      <c r="L15" s="11">
        <f t="shared" si="0"/>
        <v>47.639099999999999</v>
      </c>
      <c r="M15" s="11">
        <f t="shared" si="1"/>
        <v>1.1820411632736025</v>
      </c>
    </row>
    <row r="17" spans="1:13">
      <c r="A17" s="10">
        <v>0.1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>
      <c r="A18" t="s">
        <v>0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 t="s">
        <v>20</v>
      </c>
      <c r="J18" t="s">
        <v>21</v>
      </c>
      <c r="K18" t="s">
        <v>22</v>
      </c>
      <c r="L18" t="s">
        <v>23</v>
      </c>
      <c r="M18" t="s">
        <v>24</v>
      </c>
    </row>
    <row r="19" spans="1:13">
      <c r="A19" t="s">
        <v>1</v>
      </c>
      <c r="B19">
        <v>59.790100000000002</v>
      </c>
      <c r="C19">
        <v>59.707500000000003</v>
      </c>
      <c r="D19">
        <v>59.923499999999997</v>
      </c>
      <c r="E19">
        <v>61.159100000000002</v>
      </c>
      <c r="F19">
        <v>60.367699999999999</v>
      </c>
      <c r="L19" s="11">
        <f t="shared" ref="L19:L21" si="2">AVERAGE(B19:K19)</f>
        <v>60.189579999999999</v>
      </c>
      <c r="M19" s="11">
        <f t="shared" ref="M19:M21" si="3">_xlfn.STDEV.S(B19:K19)*P$13</f>
        <v>1.5396403651298614</v>
      </c>
    </row>
    <row r="20" spans="1:13">
      <c r="A20" t="s">
        <v>2</v>
      </c>
      <c r="B20">
        <v>39.723199999999999</v>
      </c>
      <c r="C20">
        <v>39.062800000000003</v>
      </c>
      <c r="D20">
        <v>39.427100000000003</v>
      </c>
      <c r="E20">
        <v>40.301299999999998</v>
      </c>
      <c r="F20">
        <v>40.379800000000003</v>
      </c>
      <c r="L20" s="11">
        <f t="shared" si="2"/>
        <v>39.778840000000002</v>
      </c>
      <c r="M20" s="11">
        <f t="shared" si="3"/>
        <v>1.4507637765731489</v>
      </c>
    </row>
    <row r="21" spans="1:13">
      <c r="A21" t="s">
        <v>3</v>
      </c>
      <c r="B21">
        <v>59.493200000000002</v>
      </c>
      <c r="C21">
        <v>60.348300000000002</v>
      </c>
      <c r="D21">
        <v>59.097700000000003</v>
      </c>
      <c r="E21">
        <v>60.238999999999997</v>
      </c>
      <c r="F21">
        <v>60.590800000000002</v>
      </c>
      <c r="L21" s="11">
        <f t="shared" si="2"/>
        <v>59.953800000000001</v>
      </c>
      <c r="M21" s="11">
        <f t="shared" si="3"/>
        <v>1.6198309290102029</v>
      </c>
    </row>
    <row r="23" spans="1:13">
      <c r="A23" s="10">
        <v>0.2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spans="1:13">
      <c r="A24" t="s">
        <v>0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 t="s">
        <v>20</v>
      </c>
      <c r="J24" t="s">
        <v>21</v>
      </c>
      <c r="K24" t="s">
        <v>22</v>
      </c>
      <c r="L24" t="s">
        <v>23</v>
      </c>
      <c r="M24" t="s">
        <v>24</v>
      </c>
    </row>
    <row r="25" spans="1:13">
      <c r="A25" t="s">
        <v>1</v>
      </c>
      <c r="B25">
        <v>73.248999999999995</v>
      </c>
      <c r="C25">
        <v>73.302099999999996</v>
      </c>
      <c r="D25">
        <v>72.233500000000006</v>
      </c>
      <c r="E25">
        <v>73.786900000000003</v>
      </c>
      <c r="F25">
        <v>73.573800000000006</v>
      </c>
      <c r="L25" s="11">
        <f t="shared" ref="L25:L27" si="4">AVERAGE(B25:K25)</f>
        <v>73.229060000000004</v>
      </c>
      <c r="M25" s="11">
        <f t="shared" ref="M25:M27" si="5">_xlfn.STDEV.S(B25:K25)*P$13</f>
        <v>1.5355690527582053</v>
      </c>
    </row>
    <row r="26" spans="1:13">
      <c r="A26" t="s">
        <v>2</v>
      </c>
      <c r="B26">
        <v>38.831800000000001</v>
      </c>
      <c r="C26">
        <v>37.908000000000001</v>
      </c>
      <c r="D26">
        <v>38.286799999999999</v>
      </c>
      <c r="E26">
        <v>39.097099999999998</v>
      </c>
      <c r="F26">
        <v>37.648099999999999</v>
      </c>
      <c r="L26" s="11">
        <f t="shared" si="4"/>
        <v>38.35436</v>
      </c>
      <c r="M26" s="11">
        <f t="shared" si="5"/>
        <v>1.5650488425760483</v>
      </c>
    </row>
    <row r="27" spans="1:13">
      <c r="A27" t="s">
        <v>3</v>
      </c>
      <c r="B27">
        <v>63.386699999999998</v>
      </c>
      <c r="C27">
        <v>62.303800000000003</v>
      </c>
      <c r="D27">
        <v>62.104700000000001</v>
      </c>
      <c r="E27">
        <v>62.325699999999998</v>
      </c>
      <c r="F27">
        <v>61.796199999999999</v>
      </c>
      <c r="L27" s="11">
        <f t="shared" si="4"/>
        <v>62.383420000000001</v>
      </c>
      <c r="M27" s="11">
        <f t="shared" si="5"/>
        <v>1.5419323960852305</v>
      </c>
    </row>
    <row r="29" spans="1:13">
      <c r="A29" s="10">
        <v>0.3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spans="1:13">
      <c r="A30" t="s">
        <v>0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 t="s">
        <v>20</v>
      </c>
      <c r="J30" t="s">
        <v>21</v>
      </c>
      <c r="K30" t="s">
        <v>22</v>
      </c>
      <c r="L30" t="s">
        <v>23</v>
      </c>
      <c r="M30" t="s">
        <v>24</v>
      </c>
    </row>
    <row r="31" spans="1:13">
      <c r="A31" t="s">
        <v>1</v>
      </c>
      <c r="B31">
        <v>80.52</v>
      </c>
      <c r="C31">
        <v>81.596599999999995</v>
      </c>
      <c r="D31">
        <v>81.204400000000007</v>
      </c>
      <c r="E31">
        <v>81.807299999999998</v>
      </c>
      <c r="F31">
        <v>81.236900000000006</v>
      </c>
      <c r="L31" s="11">
        <f t="shared" ref="L31:L33" si="6">AVERAGE(B31:K31)</f>
        <v>81.273040000000009</v>
      </c>
      <c r="M31" s="11">
        <f t="shared" ref="M31:M33" si="7">_xlfn.STDEV.S(B31:K31)*P$13</f>
        <v>1.2616326968452516</v>
      </c>
    </row>
    <row r="32" spans="1:13">
      <c r="A32" t="s">
        <v>2</v>
      </c>
      <c r="B32">
        <v>40.761600000000001</v>
      </c>
      <c r="C32">
        <v>40.3459</v>
      </c>
      <c r="D32">
        <v>40.346200000000003</v>
      </c>
      <c r="E32">
        <v>40.2468</v>
      </c>
      <c r="F32">
        <v>39.195799999999998</v>
      </c>
      <c r="L32" s="11">
        <f t="shared" si="6"/>
        <v>40.179259999999999</v>
      </c>
      <c r="M32" s="11">
        <f t="shared" si="7"/>
        <v>1.5027230815881443</v>
      </c>
    </row>
    <row r="33" spans="1:13">
      <c r="A33" t="s">
        <v>3</v>
      </c>
      <c r="B33">
        <v>68.841800000000006</v>
      </c>
      <c r="C33">
        <v>69.162300000000002</v>
      </c>
      <c r="D33">
        <v>68.581400000000002</v>
      </c>
      <c r="E33">
        <v>68.765699999999995</v>
      </c>
      <c r="F33">
        <v>69.450699999999998</v>
      </c>
      <c r="L33" s="11">
        <f t="shared" si="6"/>
        <v>68.960380000000001</v>
      </c>
      <c r="M33" s="11">
        <f t="shared" si="7"/>
        <v>0.88762145816257865</v>
      </c>
    </row>
    <row r="35" spans="1:13">
      <c r="A35" s="10">
        <v>0.4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</row>
    <row r="36" spans="1:13">
      <c r="A36" t="s">
        <v>0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 t="s">
        <v>20</v>
      </c>
      <c r="J36" t="s">
        <v>21</v>
      </c>
      <c r="K36" t="s">
        <v>22</v>
      </c>
      <c r="L36" t="s">
        <v>23</v>
      </c>
      <c r="M36" t="s">
        <v>24</v>
      </c>
    </row>
    <row r="37" spans="1:13">
      <c r="A37" t="s">
        <v>1</v>
      </c>
      <c r="B37">
        <v>95.853099999999998</v>
      </c>
      <c r="C37">
        <v>96.013499999999993</v>
      </c>
      <c r="D37">
        <v>95.488799999999998</v>
      </c>
      <c r="E37">
        <v>94.990700000000004</v>
      </c>
      <c r="F37">
        <v>94.965900000000005</v>
      </c>
      <c r="L37" s="11">
        <f t="shared" ref="L37:L39" si="8">AVERAGE(B37:K37)</f>
        <v>95.462400000000002</v>
      </c>
      <c r="M37" s="11">
        <f t="shared" ref="M37:M39" si="9">_xlfn.STDEV.S(B37:K37)*P$13</f>
        <v>1.2370677150806746</v>
      </c>
    </row>
    <row r="38" spans="1:13">
      <c r="A38" t="s">
        <v>2</v>
      </c>
      <c r="B38">
        <v>43.349499999999999</v>
      </c>
      <c r="C38">
        <v>43.279000000000003</v>
      </c>
      <c r="D38">
        <v>43.265300000000003</v>
      </c>
      <c r="E38">
        <v>42.984200000000001</v>
      </c>
      <c r="F38">
        <v>43.370600000000003</v>
      </c>
      <c r="L38" s="11">
        <f t="shared" si="8"/>
        <v>43.249719999999996</v>
      </c>
      <c r="M38" s="11">
        <f t="shared" si="9"/>
        <v>0.3986479302614242</v>
      </c>
    </row>
    <row r="39" spans="1:13">
      <c r="A39" t="s">
        <v>3</v>
      </c>
      <c r="B39">
        <v>75.853200000000001</v>
      </c>
      <c r="C39">
        <v>75.905199999999994</v>
      </c>
      <c r="D39">
        <v>75.676000000000002</v>
      </c>
      <c r="E39">
        <v>75.844899999999996</v>
      </c>
      <c r="F39">
        <v>76.798000000000002</v>
      </c>
      <c r="L39" s="11">
        <f t="shared" si="8"/>
        <v>76.01545999999999</v>
      </c>
      <c r="M39" s="11">
        <f t="shared" si="9"/>
        <v>1.1463159158612799</v>
      </c>
    </row>
    <row r="41" spans="1:13">
      <c r="A41" s="10">
        <v>0.5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3">
      <c r="A42" t="s">
        <v>0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 t="s">
        <v>20</v>
      </c>
      <c r="J42" t="s">
        <v>21</v>
      </c>
      <c r="K42" t="s">
        <v>22</v>
      </c>
      <c r="L42" t="s">
        <v>23</v>
      </c>
      <c r="M42" t="s">
        <v>24</v>
      </c>
    </row>
    <row r="43" spans="1:13">
      <c r="A43" t="s">
        <v>1</v>
      </c>
      <c r="B43">
        <v>100.334</v>
      </c>
      <c r="C43">
        <v>98.757499999999993</v>
      </c>
      <c r="D43">
        <v>100.547</v>
      </c>
      <c r="E43">
        <v>100.151</v>
      </c>
      <c r="F43">
        <v>99.220799999999997</v>
      </c>
      <c r="L43" s="11">
        <f t="shared" ref="L43:L45" si="10">AVERAGE(B43:K43)</f>
        <v>99.802060000000012</v>
      </c>
      <c r="M43" s="11">
        <f t="shared" ref="M43:M45" si="11">_xlfn.STDEV.S(B43:K43)*P$13</f>
        <v>1.9867624672750042</v>
      </c>
    </row>
    <row r="44" spans="1:13">
      <c r="A44" t="s">
        <v>2</v>
      </c>
      <c r="B44">
        <v>60.707099999999997</v>
      </c>
      <c r="C44">
        <v>60.165700000000001</v>
      </c>
      <c r="D44">
        <v>60.372900000000001</v>
      </c>
      <c r="E44">
        <v>60.004100000000001</v>
      </c>
      <c r="F44">
        <v>61.701700000000002</v>
      </c>
      <c r="L44" s="11">
        <f t="shared" si="10"/>
        <v>60.590299999999999</v>
      </c>
      <c r="M44" s="11">
        <f t="shared" si="11"/>
        <v>1.7342488736375883</v>
      </c>
    </row>
    <row r="45" spans="1:13">
      <c r="A45" t="s">
        <v>3</v>
      </c>
      <c r="B45">
        <v>78.788600000000002</v>
      </c>
      <c r="C45">
        <v>79.099900000000005</v>
      </c>
      <c r="D45">
        <v>79.618300000000005</v>
      </c>
      <c r="E45">
        <v>78.171199999999999</v>
      </c>
      <c r="F45">
        <v>78.918400000000005</v>
      </c>
      <c r="L45" s="11">
        <f t="shared" si="10"/>
        <v>78.919280000000001</v>
      </c>
      <c r="M45" s="11">
        <f t="shared" si="11"/>
        <v>1.346989488415282</v>
      </c>
    </row>
  </sheetData>
  <mergeCells count="8">
    <mergeCell ref="A29:M29"/>
    <mergeCell ref="A35:M35"/>
    <mergeCell ref="A41:M41"/>
    <mergeCell ref="A1:D1"/>
    <mergeCell ref="E1:J1"/>
    <mergeCell ref="A11:M11"/>
    <mergeCell ref="A17:M17"/>
    <mergeCell ref="A23:M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Hsu</dc:creator>
  <cp:lastModifiedBy>Benny Hsu</cp:lastModifiedBy>
  <dcterms:created xsi:type="dcterms:W3CDTF">2023-10-19T02:55:45Z</dcterms:created>
  <dcterms:modified xsi:type="dcterms:W3CDTF">2024-04-25T17:37:26Z</dcterms:modified>
</cp:coreProperties>
</file>