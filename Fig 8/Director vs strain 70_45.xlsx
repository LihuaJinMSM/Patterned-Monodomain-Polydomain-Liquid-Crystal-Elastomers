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benny\Desktop\UCLA\Research\Inclusion\TCP\70_45\Results\"/>
    </mc:Choice>
  </mc:AlternateContent>
  <xr:revisionPtr revIDLastSave="0" documentId="13_ncr:1_{C36B28B9-180D-4E56-BEA7-34BDE4619DBC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8" i="1" l="1"/>
  <c r="AC29" i="1"/>
  <c r="AC27" i="1"/>
  <c r="AC16" i="1"/>
  <c r="AC17" i="1"/>
  <c r="AC15" i="1"/>
  <c r="AC5" i="1"/>
  <c r="AC4" i="1"/>
  <c r="AC3" i="1"/>
  <c r="Z23" i="1"/>
  <c r="AA29" i="1"/>
  <c r="Z29" i="1"/>
  <c r="AA28" i="1"/>
  <c r="Z28" i="1"/>
  <c r="AA27" i="1"/>
  <c r="Z27" i="1"/>
  <c r="AA23" i="1"/>
  <c r="AA22" i="1"/>
  <c r="Z22" i="1"/>
  <c r="AA21" i="1"/>
  <c r="Z21" i="1"/>
  <c r="AA17" i="1"/>
  <c r="Z17" i="1"/>
  <c r="AA16" i="1"/>
  <c r="Z16" i="1"/>
  <c r="AA15" i="1"/>
  <c r="Z15" i="1"/>
  <c r="AA11" i="1"/>
  <c r="Z11" i="1"/>
  <c r="AA10" i="1"/>
  <c r="Z10" i="1"/>
  <c r="AA9" i="1"/>
  <c r="Z9" i="1"/>
  <c r="AA5" i="1"/>
  <c r="Z5" i="1"/>
  <c r="AA4" i="1"/>
  <c r="Z4" i="1"/>
  <c r="AA3" i="1"/>
  <c r="Z3" i="1"/>
  <c r="L35" i="1"/>
  <c r="L34" i="1"/>
  <c r="L33" i="1"/>
  <c r="L29" i="1"/>
  <c r="L28" i="1"/>
  <c r="L27" i="1"/>
  <c r="L23" i="1"/>
  <c r="L22" i="1"/>
  <c r="L21" i="1"/>
  <c r="M35" i="1"/>
  <c r="M34" i="1"/>
  <c r="M33" i="1"/>
  <c r="M29" i="1"/>
  <c r="M28" i="1"/>
  <c r="M27" i="1"/>
  <c r="M23" i="1"/>
  <c r="M22" i="1"/>
  <c r="M21" i="1"/>
  <c r="M17" i="1"/>
  <c r="M16" i="1"/>
  <c r="M15" i="1"/>
  <c r="L17" i="1"/>
  <c r="L16" i="1"/>
  <c r="L15" i="1"/>
  <c r="M11" i="1"/>
  <c r="M10" i="1"/>
  <c r="L11" i="1"/>
  <c r="L10" i="1"/>
  <c r="L9" i="1"/>
  <c r="M9" i="1"/>
  <c r="M4" i="1"/>
  <c r="M5" i="1"/>
  <c r="L4" i="1"/>
  <c r="L5" i="1"/>
  <c r="M3" i="1"/>
  <c r="L3" i="1"/>
</calcChain>
</file>

<file path=xl/sharedStrings.xml><?xml version="1.0" encoding="utf-8"?>
<sst xmlns="http://schemas.openxmlformats.org/spreadsheetml/2006/main" count="178" uniqueCount="17">
  <si>
    <t>Reading 1</t>
  </si>
  <si>
    <t>Reading 2</t>
  </si>
  <si>
    <t>Reading 3</t>
  </si>
  <si>
    <t>Reading 4</t>
  </si>
  <si>
    <t>Reading 5</t>
  </si>
  <si>
    <t>Reading 6</t>
  </si>
  <si>
    <t>Reading 7</t>
  </si>
  <si>
    <t>Reading 8</t>
  </si>
  <si>
    <t>Reading 9</t>
  </si>
  <si>
    <t>Reading 10</t>
  </si>
  <si>
    <t>Average</t>
  </si>
  <si>
    <t>Location</t>
  </si>
  <si>
    <t>A</t>
  </si>
  <si>
    <t>B</t>
  </si>
  <si>
    <t>C</t>
  </si>
  <si>
    <t>Error</t>
  </si>
  <si>
    <t>69/7664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</si>
</sst>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5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"/>
  <sheetViews>
    <sheetView tabSelected="1" topLeftCell="R1" workbookViewId="0">
      <selection activeCell="Q10" sqref="Q10"/>
    </sheetView>
  </sheetViews>
  <sheetFormatPr defaultRowHeight="14.4" x14ac:dyDescent="0.3"/>
  <cols>
    <col min="11" max="11" width="9.88671875" bestFit="1" customWidth="1"/>
    <col min="13" max="13" width="9.5546875" bestFit="1" customWidth="1"/>
  </cols>
  <sheetData>
    <row r="1" spans="1:29" ht="15" thickBot="1" x14ac:dyDescent="0.35">
      <c r="A1" s="15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7"/>
      <c r="O1" s="15">
        <v>0</v>
      </c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7"/>
      <c r="AC1" t="s">
        <v>10</v>
      </c>
    </row>
    <row r="2" spans="1:29" ht="15" thickBot="1" x14ac:dyDescent="0.35">
      <c r="A2" s="3" t="s">
        <v>11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7" t="s">
        <v>10</v>
      </c>
      <c r="M2" s="10" t="s">
        <v>15</v>
      </c>
      <c r="O2" s="3" t="s">
        <v>11</v>
      </c>
      <c r="P2" s="4" t="s">
        <v>0</v>
      </c>
      <c r="Q2" s="4" t="s">
        <v>1</v>
      </c>
      <c r="R2" s="4" t="s">
        <v>2</v>
      </c>
      <c r="S2" s="4" t="s">
        <v>3</v>
      </c>
      <c r="T2" s="4" t="s">
        <v>4</v>
      </c>
      <c r="U2" s="4" t="s">
        <v>5</v>
      </c>
      <c r="V2" s="4" t="s">
        <v>6</v>
      </c>
      <c r="W2" s="4" t="s">
        <v>7</v>
      </c>
      <c r="X2" s="4" t="s">
        <v>8</v>
      </c>
      <c r="Y2" s="4" t="s">
        <v>9</v>
      </c>
      <c r="Z2" s="7" t="s">
        <v>10</v>
      </c>
      <c r="AA2" s="10" t="s">
        <v>15</v>
      </c>
    </row>
    <row r="3" spans="1:29" x14ac:dyDescent="0.3">
      <c r="A3" s="5" t="s">
        <v>12</v>
      </c>
      <c r="B3" s="1">
        <v>71.834100000000007</v>
      </c>
      <c r="C3" s="1">
        <v>70.965699999999998</v>
      </c>
      <c r="D3" s="1">
        <v>72.838999999999999</v>
      </c>
      <c r="E3" s="1">
        <v>73.635999999999996</v>
      </c>
      <c r="F3" s="1">
        <v>75.055300000000003</v>
      </c>
      <c r="G3" s="1">
        <v>72.312100000000001</v>
      </c>
      <c r="H3" s="1">
        <v>72.655799999999999</v>
      </c>
      <c r="I3" s="1">
        <v>71.056299999999993</v>
      </c>
      <c r="J3" s="1">
        <v>71.988200000000006</v>
      </c>
      <c r="K3" s="1">
        <v>74.874200000000002</v>
      </c>
      <c r="L3" s="12">
        <f>AVERAGE(B3:K3)</f>
        <v>72.721669999999989</v>
      </c>
      <c r="M3" s="11">
        <f>2.262*_xlfn.STDEV.S(B3:K3)</f>
        <v>3.2240631893153777</v>
      </c>
      <c r="O3" s="5" t="s">
        <v>12</v>
      </c>
      <c r="P3" s="1">
        <v>66.938500000000005</v>
      </c>
      <c r="Q3" s="1">
        <v>68.207400000000007</v>
      </c>
      <c r="R3" s="1">
        <v>68.296499999999995</v>
      </c>
      <c r="S3" s="1">
        <v>68.4495</v>
      </c>
      <c r="T3" s="1">
        <v>67.839299999999994</v>
      </c>
      <c r="U3" s="1">
        <v>68.425600000000003</v>
      </c>
      <c r="V3" s="1">
        <v>67.259299999999996</v>
      </c>
      <c r="W3" s="1">
        <v>69.402199999999993</v>
      </c>
      <c r="X3" s="1">
        <v>70.697800000000001</v>
      </c>
      <c r="Y3" s="1">
        <v>68.811300000000003</v>
      </c>
      <c r="Z3" s="12">
        <f>AVERAGE(P3:Y3)</f>
        <v>68.432739999999995</v>
      </c>
      <c r="AA3" s="11">
        <f>2.262*_xlfn.STDEV.S(P3:Y3)</f>
        <v>2.4134142131615741</v>
      </c>
      <c r="AC3">
        <f>(Z3+L3)/2</f>
        <v>70.577204999999992</v>
      </c>
    </row>
    <row r="4" spans="1:29" x14ac:dyDescent="0.3">
      <c r="A4" s="5" t="s">
        <v>13</v>
      </c>
      <c r="B4" s="1">
        <v>70.710400000000007</v>
      </c>
      <c r="C4" s="1">
        <v>70.520200000000003</v>
      </c>
      <c r="D4" s="1">
        <v>71.599800000000002</v>
      </c>
      <c r="E4" s="1">
        <v>69.695800000000006</v>
      </c>
      <c r="F4" s="1">
        <v>69.749399999999994</v>
      </c>
      <c r="G4" s="1">
        <v>70.675899999999999</v>
      </c>
      <c r="H4" s="1">
        <v>69.704499999999996</v>
      </c>
      <c r="I4" s="1">
        <v>70.917400000000001</v>
      </c>
      <c r="J4" s="1">
        <v>68.395899999999997</v>
      </c>
      <c r="K4" s="1">
        <v>70.768100000000004</v>
      </c>
      <c r="L4" s="12">
        <f t="shared" ref="L4:L5" si="0">AVERAGE(B4:K4)</f>
        <v>70.273740000000004</v>
      </c>
      <c r="M4" s="11">
        <f t="shared" ref="M4:M5" si="1">2.262*_xlfn.STDEV.S(B4:K4)</f>
        <v>2.0357352951598791</v>
      </c>
      <c r="O4" s="5" t="s">
        <v>13</v>
      </c>
      <c r="P4" s="1">
        <v>70.744600000000005</v>
      </c>
      <c r="Q4" s="1">
        <v>69.947500000000005</v>
      </c>
      <c r="R4" s="1">
        <v>72.8202</v>
      </c>
      <c r="S4" s="1">
        <v>70.585499999999996</v>
      </c>
      <c r="T4" s="1">
        <v>73.307400000000001</v>
      </c>
      <c r="U4" s="1">
        <v>70.877099999999999</v>
      </c>
      <c r="V4" s="1">
        <v>69.911699999999996</v>
      </c>
      <c r="W4" s="1">
        <v>70.438199999999995</v>
      </c>
      <c r="X4" s="1">
        <v>70.849199999999996</v>
      </c>
      <c r="Y4" s="1">
        <v>69.738299999999995</v>
      </c>
      <c r="Z4" s="12">
        <f t="shared" ref="Z4:Z5" si="2">AVERAGE(P4:Y4)</f>
        <v>70.921970000000002</v>
      </c>
      <c r="AA4" s="11">
        <f t="shared" ref="AA4:AA5" si="3">2.262*_xlfn.STDEV.S(P4:Y4)</f>
        <v>2.7239005002870509</v>
      </c>
      <c r="AC4">
        <f>(Z4+L4)/2</f>
        <v>70.59785500000001</v>
      </c>
    </row>
    <row r="5" spans="1:29" ht="15" thickBot="1" x14ac:dyDescent="0.35">
      <c r="A5" s="6" t="s">
        <v>14</v>
      </c>
      <c r="B5" s="2">
        <v>72.958500000000001</v>
      </c>
      <c r="C5" s="2">
        <v>73.1267</v>
      </c>
      <c r="D5" s="2">
        <v>73.2029</v>
      </c>
      <c r="E5" s="2">
        <v>66.406300000000002</v>
      </c>
      <c r="F5" s="2">
        <v>67.7791</v>
      </c>
      <c r="G5" s="2">
        <v>67.4435</v>
      </c>
      <c r="H5" s="2">
        <v>69.726100000000002</v>
      </c>
      <c r="I5" s="2">
        <v>73.4435</v>
      </c>
      <c r="J5" s="2">
        <v>70.4602</v>
      </c>
      <c r="K5" s="2">
        <v>69.979600000000005</v>
      </c>
      <c r="L5" s="13">
        <f t="shared" si="0"/>
        <v>70.452639999999988</v>
      </c>
      <c r="M5" s="14">
        <f t="shared" si="1"/>
        <v>5.997329283808269</v>
      </c>
      <c r="O5" s="6" t="s">
        <v>14</v>
      </c>
      <c r="P5" s="2">
        <v>70.313299999999998</v>
      </c>
      <c r="Q5" s="2">
        <v>70.081400000000002</v>
      </c>
      <c r="R5" s="2">
        <v>70.433700000000002</v>
      </c>
      <c r="S5" s="2">
        <v>70.078400000000002</v>
      </c>
      <c r="T5" s="2">
        <v>69.878299999999996</v>
      </c>
      <c r="U5" s="2">
        <v>70.588999999999999</v>
      </c>
      <c r="V5" s="2">
        <v>70.569100000000006</v>
      </c>
      <c r="W5" s="2">
        <v>70.541600000000003</v>
      </c>
      <c r="X5" s="2">
        <v>70.1554</v>
      </c>
      <c r="Y5" s="2">
        <v>69.900599999999997</v>
      </c>
      <c r="Z5" s="13">
        <f t="shared" si="2"/>
        <v>70.254080000000002</v>
      </c>
      <c r="AA5" s="14">
        <f t="shared" si="3"/>
        <v>0.61552701955532441</v>
      </c>
      <c r="AC5">
        <f>(Z5+L5)/2</f>
        <v>70.353359999999995</v>
      </c>
    </row>
    <row r="6" spans="1:29" ht="15" thickBo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29" ht="15" thickBot="1" x14ac:dyDescent="0.35">
      <c r="A7" s="15">
        <v>0.1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7"/>
      <c r="O7" s="15">
        <v>0.05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7"/>
    </row>
    <row r="8" spans="1:29" ht="15" thickBot="1" x14ac:dyDescent="0.35">
      <c r="A8" s="9" t="s">
        <v>11</v>
      </c>
      <c r="B8" s="2" t="s">
        <v>0</v>
      </c>
      <c r="C8" s="2" t="s">
        <v>1</v>
      </c>
      <c r="D8" s="2" t="s">
        <v>2</v>
      </c>
      <c r="E8" s="2" t="s">
        <v>3</v>
      </c>
      <c r="F8" s="2" t="s">
        <v>4</v>
      </c>
      <c r="G8" s="2" t="s">
        <v>5</v>
      </c>
      <c r="H8" s="2" t="s">
        <v>6</v>
      </c>
      <c r="I8" s="2" t="s">
        <v>7</v>
      </c>
      <c r="J8" s="2" t="s">
        <v>8</v>
      </c>
      <c r="K8" s="2" t="s">
        <v>9</v>
      </c>
      <c r="L8" s="8" t="s">
        <v>10</v>
      </c>
      <c r="M8" s="7" t="s">
        <v>15</v>
      </c>
      <c r="O8" s="3" t="s">
        <v>11</v>
      </c>
      <c r="P8" s="4" t="s">
        <v>0</v>
      </c>
      <c r="Q8" s="4" t="s">
        <v>1</v>
      </c>
      <c r="R8" s="4" t="s">
        <v>2</v>
      </c>
      <c r="S8" s="4" t="s">
        <v>3</v>
      </c>
      <c r="T8" s="4" t="s">
        <v>4</v>
      </c>
      <c r="U8" s="4" t="s">
        <v>5</v>
      </c>
      <c r="V8" s="4" t="s">
        <v>6</v>
      </c>
      <c r="W8" s="4" t="s">
        <v>7</v>
      </c>
      <c r="X8" s="4" t="s">
        <v>8</v>
      </c>
      <c r="Y8" s="4" t="s">
        <v>9</v>
      </c>
      <c r="Z8" s="7" t="s">
        <v>10</v>
      </c>
      <c r="AA8" s="10" t="s">
        <v>15</v>
      </c>
    </row>
    <row r="9" spans="1:29" x14ac:dyDescent="0.3">
      <c r="A9" s="5" t="s">
        <v>12</v>
      </c>
      <c r="B9" s="1">
        <v>71.248500000000007</v>
      </c>
      <c r="C9" s="1">
        <v>72.460700000000003</v>
      </c>
      <c r="D9" s="1">
        <v>70.838399999999993</v>
      </c>
      <c r="E9" s="1">
        <v>69.749700000000004</v>
      </c>
      <c r="F9" s="1">
        <v>70.817700000000002</v>
      </c>
      <c r="G9" s="1">
        <v>77.234300000000005</v>
      </c>
      <c r="H9" s="1">
        <v>70.694999999999993</v>
      </c>
      <c r="I9" s="1">
        <v>71.984700000000004</v>
      </c>
      <c r="J9" s="1">
        <v>71.5077</v>
      </c>
      <c r="K9" s="1">
        <v>73.138400000000004</v>
      </c>
      <c r="L9" s="12">
        <f>AVERAGE(B9:K9)</f>
        <v>71.967510000000004</v>
      </c>
      <c r="M9" s="11">
        <f>2.262*_xlfn.STDEV.S(B9:K9)</f>
        <v>4.721804711177314</v>
      </c>
      <c r="O9" s="5" t="s">
        <v>12</v>
      </c>
      <c r="P9" s="1">
        <v>68.086299999999994</v>
      </c>
      <c r="Q9" s="1">
        <v>66.981300000000005</v>
      </c>
      <c r="R9" s="1">
        <v>68.866299999999995</v>
      </c>
      <c r="S9" s="1">
        <v>67.627200000000002</v>
      </c>
      <c r="T9" s="1">
        <v>66.880399999999995</v>
      </c>
      <c r="U9" s="1">
        <v>67.415400000000005</v>
      </c>
      <c r="V9" s="1">
        <v>65.988299999999995</v>
      </c>
      <c r="W9" s="1">
        <v>67.006600000000006</v>
      </c>
      <c r="X9" s="1">
        <v>68.705200000000005</v>
      </c>
      <c r="Y9" s="1">
        <v>67.476100000000002</v>
      </c>
      <c r="Z9" s="12">
        <f>AVERAGE(P9:Y9)</f>
        <v>67.503309999999999</v>
      </c>
      <c r="AA9" s="11">
        <f>2.262*_xlfn.STDEV.S(P9:Y9)</f>
        <v>1.9760646043817509</v>
      </c>
    </row>
    <row r="10" spans="1:29" x14ac:dyDescent="0.3">
      <c r="A10" s="5" t="s">
        <v>13</v>
      </c>
      <c r="B10" s="1">
        <v>74.857200000000006</v>
      </c>
      <c r="C10" s="1">
        <v>73.228700000000003</v>
      </c>
      <c r="D10" s="1">
        <v>73.035300000000007</v>
      </c>
      <c r="E10" s="1">
        <v>75.019000000000005</v>
      </c>
      <c r="F10" s="1">
        <v>74.766900000000007</v>
      </c>
      <c r="G10" s="1">
        <v>74.685199999999995</v>
      </c>
      <c r="H10" s="1">
        <v>73.747</v>
      </c>
      <c r="I10" s="1">
        <v>75.965999999999994</v>
      </c>
      <c r="J10" s="1">
        <v>76.028300000000002</v>
      </c>
      <c r="K10" s="1">
        <v>72.921199999999999</v>
      </c>
      <c r="L10" s="12">
        <f t="shared" ref="L10:L11" si="4">AVERAGE(B10:K10)</f>
        <v>74.425480000000022</v>
      </c>
      <c r="M10" s="11">
        <f t="shared" ref="M10:M11" si="5">2.262*_xlfn.STDEV.S(B10:K10)</f>
        <v>2.5849095430905749</v>
      </c>
      <c r="O10" s="5" t="s">
        <v>13</v>
      </c>
      <c r="P10" s="1">
        <v>73.034400000000005</v>
      </c>
      <c r="Q10" s="1">
        <v>73.586699999999993</v>
      </c>
      <c r="R10" s="1">
        <v>73.726600000000005</v>
      </c>
      <c r="S10" s="1">
        <v>75.671400000000006</v>
      </c>
      <c r="T10" s="1">
        <v>72.262500000000003</v>
      </c>
      <c r="U10" s="1">
        <v>74.106499999999997</v>
      </c>
      <c r="V10" s="1">
        <v>73.419399999999996</v>
      </c>
      <c r="W10" s="1">
        <v>73.500100000000003</v>
      </c>
      <c r="X10" s="1">
        <v>72.213899999999995</v>
      </c>
      <c r="Y10" s="1">
        <v>73.702600000000004</v>
      </c>
      <c r="Z10" s="12">
        <f t="shared" ref="Z10:Z11" si="6">AVERAGE(P10:Y10)</f>
        <v>73.522409999999994</v>
      </c>
      <c r="AA10" s="11">
        <f t="shared" ref="AA10:AA11" si="7">2.262*_xlfn.STDEV.S(P10:Y10)</f>
        <v>2.2094192386038864</v>
      </c>
    </row>
    <row r="11" spans="1:29" ht="15" thickBot="1" x14ac:dyDescent="0.35">
      <c r="A11" s="6" t="s">
        <v>14</v>
      </c>
      <c r="B11" s="2">
        <v>74.248699999999999</v>
      </c>
      <c r="C11" s="2" t="s">
        <v>16</v>
      </c>
      <c r="D11" s="2">
        <v>76.777500000000003</v>
      </c>
      <c r="E11" s="2">
        <v>74.865200000000002</v>
      </c>
      <c r="F11" s="2">
        <v>74.13</v>
      </c>
      <c r="G11" s="2">
        <v>69.8964</v>
      </c>
      <c r="H11" s="2">
        <v>69.350099999999998</v>
      </c>
      <c r="I11" s="2">
        <v>75.606200000000001</v>
      </c>
      <c r="J11" s="2">
        <v>74.178200000000004</v>
      </c>
      <c r="K11" s="2">
        <v>74.604699999999994</v>
      </c>
      <c r="L11" s="13">
        <f t="shared" si="4"/>
        <v>73.739666666666665</v>
      </c>
      <c r="M11" s="14">
        <f t="shared" si="5"/>
        <v>5.619275742825848</v>
      </c>
      <c r="O11" s="6" t="s">
        <v>14</v>
      </c>
      <c r="P11" s="2">
        <v>74.272400000000005</v>
      </c>
      <c r="Q11" s="2">
        <v>73.204700000000003</v>
      </c>
      <c r="R11" s="2">
        <v>73.343100000000007</v>
      </c>
      <c r="S11" s="2">
        <v>74.55</v>
      </c>
      <c r="T11" s="2">
        <v>72.107100000000003</v>
      </c>
      <c r="U11" s="2">
        <v>73.015699999999995</v>
      </c>
      <c r="V11" s="2">
        <v>73.492800000000003</v>
      </c>
      <c r="W11" s="2">
        <v>73.320999999999998</v>
      </c>
      <c r="X11" s="2">
        <v>72.875600000000006</v>
      </c>
      <c r="Y11" s="2">
        <v>73.443899999999999</v>
      </c>
      <c r="Z11" s="13">
        <f t="shared" si="6"/>
        <v>73.362629999999996</v>
      </c>
      <c r="AA11" s="14">
        <f t="shared" si="7"/>
        <v>1.5492908643783168</v>
      </c>
    </row>
    <row r="12" spans="1:29" ht="15" thickBo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29" ht="15" thickBot="1" x14ac:dyDescent="0.35">
      <c r="A13" s="15">
        <v>0.2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7"/>
      <c r="O13" s="15">
        <v>0.1</v>
      </c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7"/>
    </row>
    <row r="14" spans="1:29" ht="15" thickBot="1" x14ac:dyDescent="0.35">
      <c r="A14" s="9" t="s">
        <v>11</v>
      </c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 t="s">
        <v>7</v>
      </c>
      <c r="J14" s="2" t="s">
        <v>8</v>
      </c>
      <c r="K14" s="2" t="s">
        <v>9</v>
      </c>
      <c r="L14" s="8" t="s">
        <v>10</v>
      </c>
      <c r="M14" s="7" t="s">
        <v>15</v>
      </c>
      <c r="O14" s="3" t="s">
        <v>11</v>
      </c>
      <c r="P14" s="4" t="s">
        <v>0</v>
      </c>
      <c r="Q14" s="4" t="s">
        <v>1</v>
      </c>
      <c r="R14" s="4" t="s">
        <v>2</v>
      </c>
      <c r="S14" s="4" t="s">
        <v>3</v>
      </c>
      <c r="T14" s="4" t="s">
        <v>4</v>
      </c>
      <c r="U14" s="4" t="s">
        <v>5</v>
      </c>
      <c r="V14" s="4" t="s">
        <v>6</v>
      </c>
      <c r="W14" s="4" t="s">
        <v>7</v>
      </c>
      <c r="X14" s="4" t="s">
        <v>8</v>
      </c>
      <c r="Y14" s="4" t="s">
        <v>9</v>
      </c>
      <c r="Z14" s="7" t="s">
        <v>10</v>
      </c>
      <c r="AA14" s="10" t="s">
        <v>15</v>
      </c>
    </row>
    <row r="15" spans="1:29" x14ac:dyDescent="0.3">
      <c r="A15" s="5" t="s">
        <v>12</v>
      </c>
      <c r="B15" s="1">
        <v>69.820300000000003</v>
      </c>
      <c r="C15" s="1">
        <v>72.260000000000005</v>
      </c>
      <c r="D15" s="1">
        <v>70.34</v>
      </c>
      <c r="E15" s="1">
        <v>72.880399999999995</v>
      </c>
      <c r="F15" s="1">
        <v>69.638400000000004</v>
      </c>
      <c r="G15" s="1">
        <v>71.460400000000007</v>
      </c>
      <c r="H15" s="1">
        <v>70.442700000000002</v>
      </c>
      <c r="I15" s="1">
        <v>70.270700000000005</v>
      </c>
      <c r="J15" s="1">
        <v>71.229399999999998</v>
      </c>
      <c r="K15" s="1">
        <v>70.3125</v>
      </c>
      <c r="L15" s="12">
        <f>AVERAGE(B15:K15)</f>
        <v>70.865480000000005</v>
      </c>
      <c r="M15" s="11">
        <f>2.262*_xlfn.STDEV.S(B15:K15)</f>
        <v>2.4084966017034111</v>
      </c>
      <c r="O15" s="5" t="s">
        <v>12</v>
      </c>
      <c r="P15" s="1">
        <v>66.317700000000002</v>
      </c>
      <c r="Q15" s="1">
        <v>67.3917</v>
      </c>
      <c r="R15" s="1">
        <v>68.193899999999999</v>
      </c>
      <c r="S15" s="1">
        <v>67.502799999999993</v>
      </c>
      <c r="T15" s="1">
        <v>68.321770000000001</v>
      </c>
      <c r="U15" s="1">
        <v>66.671499999999995</v>
      </c>
      <c r="V15" s="1">
        <v>66.440200000000004</v>
      </c>
      <c r="W15" s="1">
        <v>66.915099999999995</v>
      </c>
      <c r="X15" s="1">
        <v>67.705299999999994</v>
      </c>
      <c r="Y15" s="1">
        <v>67.951599999999999</v>
      </c>
      <c r="Z15" s="12">
        <f>AVERAGE(P15:Y15)</f>
        <v>67.341156999999995</v>
      </c>
      <c r="AA15" s="11">
        <f>2.262*_xlfn.STDEV.S(P15:Y15)</f>
        <v>1.6366922795535215</v>
      </c>
      <c r="AC15">
        <f>(Z15+L9)/2</f>
        <v>69.654333500000007</v>
      </c>
    </row>
    <row r="16" spans="1:29" x14ac:dyDescent="0.3">
      <c r="A16" s="5" t="s">
        <v>13</v>
      </c>
      <c r="B16" s="1">
        <v>77.254999999999995</v>
      </c>
      <c r="C16" s="1">
        <v>75.158600000000007</v>
      </c>
      <c r="D16" s="1">
        <v>77.916600000000003</v>
      </c>
      <c r="E16" s="1">
        <v>75.860100000000003</v>
      </c>
      <c r="F16" s="1">
        <v>78.0351</v>
      </c>
      <c r="G16" s="1">
        <v>76.992999999999995</v>
      </c>
      <c r="H16" s="1">
        <v>75.847200000000001</v>
      </c>
      <c r="I16" s="1">
        <v>76.775000000000006</v>
      </c>
      <c r="J16" s="1">
        <v>72.126199999999997</v>
      </c>
      <c r="K16" s="1">
        <v>73.856300000000005</v>
      </c>
      <c r="L16" s="12">
        <f t="shared" ref="L16:L17" si="8">AVERAGE(B16:K16)</f>
        <v>75.982310000000012</v>
      </c>
      <c r="M16" s="11">
        <f t="shared" ref="M16:M17" si="9">2.262*_xlfn.STDEV.S(B16:K16)</f>
        <v>4.22012440379675</v>
      </c>
      <c r="O16" s="5" t="s">
        <v>13</v>
      </c>
      <c r="P16" s="1">
        <v>74.681200000000004</v>
      </c>
      <c r="Q16" s="1">
        <v>76.899199999999993</v>
      </c>
      <c r="R16" s="1">
        <v>75.610799999999998</v>
      </c>
      <c r="S16" s="1">
        <v>75.5518</v>
      </c>
      <c r="T16" s="1">
        <v>75.691299999999998</v>
      </c>
      <c r="U16" s="1">
        <v>74.848200000000006</v>
      </c>
      <c r="V16" s="1">
        <v>76.888199999999998</v>
      </c>
      <c r="W16" s="1">
        <v>75.294499999999999</v>
      </c>
      <c r="X16" s="1">
        <v>74.703400000000002</v>
      </c>
      <c r="Y16" s="1">
        <v>76.592299999999994</v>
      </c>
      <c r="Z16" s="12">
        <f t="shared" ref="Z16:Z17" si="10">AVERAGE(P16:Y16)</f>
        <v>75.676090000000002</v>
      </c>
      <c r="AA16" s="11">
        <f t="shared" ref="AA16:AA17" si="11">2.262*_xlfn.STDEV.S(P16:Y16)</f>
        <v>1.9358186586010719</v>
      </c>
      <c r="AC16">
        <f t="shared" ref="AC16:AC17" si="12">(Z16+L10)/2</f>
        <v>75.050785000000019</v>
      </c>
    </row>
    <row r="17" spans="1:29" ht="15" thickBot="1" x14ac:dyDescent="0.35">
      <c r="A17" s="6" t="s">
        <v>14</v>
      </c>
      <c r="B17" s="2">
        <v>78.382000000000005</v>
      </c>
      <c r="C17" s="2">
        <v>77.605900000000005</v>
      </c>
      <c r="D17" s="2">
        <v>74.705500000000001</v>
      </c>
      <c r="E17" s="2">
        <v>75.870500000000007</v>
      </c>
      <c r="F17" s="2">
        <v>75.059700000000007</v>
      </c>
      <c r="G17" s="2">
        <v>78.2898</v>
      </c>
      <c r="H17" s="2">
        <v>77.155600000000007</v>
      </c>
      <c r="I17" s="2">
        <v>77.316100000000006</v>
      </c>
      <c r="J17" s="2">
        <v>75.323599999999999</v>
      </c>
      <c r="K17" s="2">
        <v>77.473799999999997</v>
      </c>
      <c r="L17" s="13">
        <f t="shared" si="8"/>
        <v>76.718250000000012</v>
      </c>
      <c r="M17" s="14">
        <f t="shared" si="9"/>
        <v>3.0730463773143839</v>
      </c>
      <c r="O17" s="6" t="s">
        <v>14</v>
      </c>
      <c r="P17" s="2">
        <v>76.0839</v>
      </c>
      <c r="Q17" s="2">
        <v>76.035399999999996</v>
      </c>
      <c r="R17" s="2">
        <v>75.361099999999993</v>
      </c>
      <c r="S17" s="2">
        <v>74.587999999999994</v>
      </c>
      <c r="T17" s="2">
        <v>75.266099999999994</v>
      </c>
      <c r="U17" s="2">
        <v>76.035399999999996</v>
      </c>
      <c r="V17" s="2">
        <v>76.0839</v>
      </c>
      <c r="W17" s="2">
        <v>75.073599999999999</v>
      </c>
      <c r="X17" s="2">
        <v>74.590599999999995</v>
      </c>
      <c r="Y17" s="2">
        <v>75.382400000000004</v>
      </c>
      <c r="Z17" s="13">
        <f t="shared" si="10"/>
        <v>75.450039999999987</v>
      </c>
      <c r="AA17" s="14">
        <f t="shared" si="11"/>
        <v>1.3400483373235426</v>
      </c>
      <c r="AC17">
        <f t="shared" si="12"/>
        <v>74.594853333333333</v>
      </c>
    </row>
    <row r="18" spans="1:29" ht="15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29" ht="15" thickBot="1" x14ac:dyDescent="0.35">
      <c r="A19" s="15">
        <v>0.3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7"/>
      <c r="O19" s="15">
        <v>0.15</v>
      </c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7"/>
    </row>
    <row r="20" spans="1:29" ht="15" thickBot="1" x14ac:dyDescent="0.35">
      <c r="A20" s="9" t="s">
        <v>11</v>
      </c>
      <c r="B20" s="2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2" t="s">
        <v>6</v>
      </c>
      <c r="I20" s="2" t="s">
        <v>7</v>
      </c>
      <c r="J20" s="2" t="s">
        <v>8</v>
      </c>
      <c r="K20" s="2" t="s">
        <v>9</v>
      </c>
      <c r="L20" s="8" t="s">
        <v>10</v>
      </c>
      <c r="M20" s="8" t="s">
        <v>15</v>
      </c>
      <c r="O20" s="3" t="s">
        <v>11</v>
      </c>
      <c r="P20" s="4" t="s">
        <v>0</v>
      </c>
      <c r="Q20" s="4" t="s">
        <v>1</v>
      </c>
      <c r="R20" s="4" t="s">
        <v>2</v>
      </c>
      <c r="S20" s="4" t="s">
        <v>3</v>
      </c>
      <c r="T20" s="4" t="s">
        <v>4</v>
      </c>
      <c r="U20" s="4" t="s">
        <v>5</v>
      </c>
      <c r="V20" s="4" t="s">
        <v>6</v>
      </c>
      <c r="W20" s="4" t="s">
        <v>7</v>
      </c>
      <c r="X20" s="4" t="s">
        <v>8</v>
      </c>
      <c r="Y20" s="4" t="s">
        <v>9</v>
      </c>
      <c r="Z20" s="7" t="s">
        <v>10</v>
      </c>
      <c r="AA20" s="10" t="s">
        <v>15</v>
      </c>
    </row>
    <row r="21" spans="1:29" x14ac:dyDescent="0.3">
      <c r="A21" s="5" t="s">
        <v>12</v>
      </c>
      <c r="B21" s="1">
        <v>72.438800000000001</v>
      </c>
      <c r="C21" s="1">
        <v>72.157399999999996</v>
      </c>
      <c r="D21" s="1">
        <v>73.044499999999999</v>
      </c>
      <c r="E21" s="1">
        <v>72.767099999999999</v>
      </c>
      <c r="F21" s="1">
        <v>72.106800000000007</v>
      </c>
      <c r="G21" s="1">
        <v>73.067999999999998</v>
      </c>
      <c r="H21" s="1">
        <v>73.494200000000006</v>
      </c>
      <c r="I21" s="1">
        <v>73.715900000000005</v>
      </c>
      <c r="J21" s="1">
        <v>71.484700000000004</v>
      </c>
      <c r="K21" s="1">
        <v>73.412300000000002</v>
      </c>
      <c r="L21" s="12">
        <f>AVERAGE(B21:K21)</f>
        <v>72.768969999999996</v>
      </c>
      <c r="M21" s="11">
        <f>2.262*_xlfn.STDEV.S(B21:K21)</f>
        <v>1.6123433324294298</v>
      </c>
      <c r="O21" s="5" t="s">
        <v>12</v>
      </c>
      <c r="P21" s="1">
        <v>69.325500000000005</v>
      </c>
      <c r="Q21" s="1">
        <v>68.56</v>
      </c>
      <c r="R21" s="1">
        <v>68.860299999999995</v>
      </c>
      <c r="S21" s="1">
        <v>68.480099999999993</v>
      </c>
      <c r="T21" s="1">
        <v>68.628699999999995</v>
      </c>
      <c r="U21" s="1">
        <v>68.626900000000006</v>
      </c>
      <c r="V21" s="1">
        <v>69.327699999999993</v>
      </c>
      <c r="W21" s="1">
        <v>68.890900000000002</v>
      </c>
      <c r="X21" s="1">
        <v>69.200900000000004</v>
      </c>
      <c r="Y21" s="1">
        <v>68.7928</v>
      </c>
      <c r="Z21" s="12">
        <f>AVERAGE(P21:Y21)</f>
        <v>68.869380000000007</v>
      </c>
      <c r="AA21" s="11">
        <f>2.262*_xlfn.STDEV.S(P21:Y21)</f>
        <v>0.71466972541930074</v>
      </c>
    </row>
    <row r="22" spans="1:29" x14ac:dyDescent="0.3">
      <c r="A22" s="5" t="s">
        <v>13</v>
      </c>
      <c r="B22" s="1">
        <v>76.884100000000004</v>
      </c>
      <c r="C22" s="1">
        <v>77.490600000000001</v>
      </c>
      <c r="D22" s="1">
        <v>77.161500000000004</v>
      </c>
      <c r="E22" s="1">
        <v>76.566900000000004</v>
      </c>
      <c r="F22" s="1">
        <v>77.361099999999993</v>
      </c>
      <c r="G22" s="1">
        <v>76.979799999999997</v>
      </c>
      <c r="H22" s="1">
        <v>76.319699999999997</v>
      </c>
      <c r="I22" s="1">
        <v>77.897199999999998</v>
      </c>
      <c r="J22" s="1">
        <v>77.546700000000001</v>
      </c>
      <c r="K22" s="1">
        <v>78.238</v>
      </c>
      <c r="L22" s="12">
        <f t="shared" ref="L22:L23" si="13">AVERAGE(B22:K22)</f>
        <v>77.244560000000007</v>
      </c>
      <c r="M22" s="11">
        <f t="shared" ref="M22:M23" si="14">2.262*_xlfn.STDEV.S(B22:K22)</f>
        <v>1.3275079895415398</v>
      </c>
      <c r="O22" s="5" t="s">
        <v>13</v>
      </c>
      <c r="P22" s="1">
        <v>76.099800000000002</v>
      </c>
      <c r="Q22" s="1">
        <v>76.824100000000001</v>
      </c>
      <c r="R22" s="1">
        <v>78.588899999999995</v>
      </c>
      <c r="S22" s="1">
        <v>76.685100000000006</v>
      </c>
      <c r="T22" s="1">
        <v>75.971800000000002</v>
      </c>
      <c r="U22" s="1">
        <v>76.914400000000001</v>
      </c>
      <c r="V22" s="1">
        <v>75.737799999999993</v>
      </c>
      <c r="W22" s="1">
        <v>76.719700000000003</v>
      </c>
      <c r="X22" s="1">
        <v>76.249200000000002</v>
      </c>
      <c r="Y22" s="1">
        <v>76.555499999999995</v>
      </c>
      <c r="Z22" s="12">
        <f t="shared" ref="Z22:Z23" si="15">AVERAGE(P22:Y22)</f>
        <v>76.634629999999987</v>
      </c>
      <c r="AA22" s="11">
        <f t="shared" ref="AA22:AA23" si="16">2.262*_xlfn.STDEV.S(P22:Y22)</f>
        <v>1.7886866802026651</v>
      </c>
    </row>
    <row r="23" spans="1:29" ht="15" thickBot="1" x14ac:dyDescent="0.35">
      <c r="A23" s="6" t="s">
        <v>14</v>
      </c>
      <c r="B23" s="2">
        <v>78.559200000000004</v>
      </c>
      <c r="C23" s="2">
        <v>76.929900000000004</v>
      </c>
      <c r="D23" s="2">
        <v>77.920199999999994</v>
      </c>
      <c r="E23" s="2">
        <v>78.899500000000003</v>
      </c>
      <c r="F23" s="2">
        <v>76.841399999999993</v>
      </c>
      <c r="G23" s="2">
        <v>77.731300000000005</v>
      </c>
      <c r="H23" s="2">
        <v>78.468699999999998</v>
      </c>
      <c r="I23" s="2">
        <v>78.732299999999995</v>
      </c>
      <c r="J23" s="2">
        <v>78.508499999999998</v>
      </c>
      <c r="K23" s="2">
        <v>78.096500000000006</v>
      </c>
      <c r="L23" s="13">
        <f t="shared" si="13"/>
        <v>78.068750000000009</v>
      </c>
      <c r="M23" s="14">
        <f t="shared" si="14"/>
        <v>1.6284309688843506</v>
      </c>
      <c r="O23" s="6" t="s">
        <v>14</v>
      </c>
      <c r="P23" s="2">
        <v>76.507499999999993</v>
      </c>
      <c r="Q23" s="2">
        <v>76.727699999999999</v>
      </c>
      <c r="R23" s="2">
        <v>76.501199999999997</v>
      </c>
      <c r="S23" s="2">
        <v>76.885300000000001</v>
      </c>
      <c r="T23" s="2">
        <v>77.052199999999999</v>
      </c>
      <c r="U23" s="2">
        <v>76.507300000000001</v>
      </c>
      <c r="V23" s="2">
        <v>76.551400000000001</v>
      </c>
      <c r="W23" s="2">
        <v>76.646000000000001</v>
      </c>
      <c r="X23" s="2">
        <v>77.112399999999994</v>
      </c>
      <c r="Y23" s="2">
        <v>76.540400000000005</v>
      </c>
      <c r="Z23" s="13">
        <f t="shared" si="15"/>
        <v>76.703139999999991</v>
      </c>
      <c r="AA23" s="14">
        <f t="shared" si="16"/>
        <v>0.52957671023728159</v>
      </c>
    </row>
    <row r="24" spans="1:29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29" ht="15" thickBot="1" x14ac:dyDescent="0.35">
      <c r="A25" s="15">
        <v>0.4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7"/>
      <c r="O25" s="15">
        <v>0.2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7"/>
    </row>
    <row r="26" spans="1:29" ht="15" thickBot="1" x14ac:dyDescent="0.35">
      <c r="A26" s="9" t="s">
        <v>11</v>
      </c>
      <c r="B26" s="2" t="s">
        <v>0</v>
      </c>
      <c r="C26" s="2" t="s">
        <v>1</v>
      </c>
      <c r="D26" s="2" t="s">
        <v>2</v>
      </c>
      <c r="E26" s="2" t="s">
        <v>3</v>
      </c>
      <c r="F26" s="2" t="s">
        <v>4</v>
      </c>
      <c r="G26" s="2" t="s">
        <v>5</v>
      </c>
      <c r="H26" s="2" t="s">
        <v>6</v>
      </c>
      <c r="I26" s="2" t="s">
        <v>7</v>
      </c>
      <c r="J26" s="2" t="s">
        <v>8</v>
      </c>
      <c r="K26" s="2" t="s">
        <v>9</v>
      </c>
      <c r="L26" s="8" t="s">
        <v>10</v>
      </c>
      <c r="M26" s="7" t="s">
        <v>15</v>
      </c>
      <c r="O26" s="3" t="s">
        <v>11</v>
      </c>
      <c r="P26" s="4" t="s">
        <v>0</v>
      </c>
      <c r="Q26" s="4" t="s">
        <v>1</v>
      </c>
      <c r="R26" s="4" t="s">
        <v>2</v>
      </c>
      <c r="S26" s="4" t="s">
        <v>3</v>
      </c>
      <c r="T26" s="4" t="s">
        <v>4</v>
      </c>
      <c r="U26" s="4" t="s">
        <v>5</v>
      </c>
      <c r="V26" s="4" t="s">
        <v>6</v>
      </c>
      <c r="W26" s="4" t="s">
        <v>7</v>
      </c>
      <c r="X26" s="4" t="s">
        <v>8</v>
      </c>
      <c r="Y26" s="4" t="s">
        <v>9</v>
      </c>
      <c r="Z26" s="7" t="s">
        <v>10</v>
      </c>
      <c r="AA26" s="10" t="s">
        <v>15</v>
      </c>
    </row>
    <row r="27" spans="1:29" x14ac:dyDescent="0.3">
      <c r="A27" s="5" t="s">
        <v>12</v>
      </c>
      <c r="B27" s="1">
        <v>73.929299999999998</v>
      </c>
      <c r="C27" s="1">
        <v>74.527900000000002</v>
      </c>
      <c r="D27" s="1">
        <v>74.812200000000004</v>
      </c>
      <c r="E27" s="1">
        <v>73.581400000000002</v>
      </c>
      <c r="F27" s="1">
        <v>74.092600000000004</v>
      </c>
      <c r="G27" s="1">
        <v>74.431100000000001</v>
      </c>
      <c r="H27" s="1">
        <v>73.552400000000006</v>
      </c>
      <c r="I27" s="1">
        <v>74.727699999999999</v>
      </c>
      <c r="J27" s="1">
        <v>73.993300000000005</v>
      </c>
      <c r="K27" s="1">
        <v>72.915999999999997</v>
      </c>
      <c r="L27" s="12">
        <f>AVERAGE(B27:K27)</f>
        <v>74.056390000000007</v>
      </c>
      <c r="M27" s="11">
        <f>2.262*_xlfn.STDEV.S(B27:K27)</f>
        <v>1.3458824576556188</v>
      </c>
      <c r="O27" s="5" t="s">
        <v>12</v>
      </c>
      <c r="P27" s="1">
        <v>70.111900000000006</v>
      </c>
      <c r="Q27" s="1">
        <v>69.393699999999995</v>
      </c>
      <c r="R27" s="1">
        <v>69.789400000000001</v>
      </c>
      <c r="S27" s="1">
        <v>71.048599999999993</v>
      </c>
      <c r="T27" s="1">
        <v>70.158199999999994</v>
      </c>
      <c r="U27" s="1">
        <v>70.037999999999997</v>
      </c>
      <c r="V27" s="1">
        <v>69.935500000000005</v>
      </c>
      <c r="W27" s="1">
        <v>70.021699999999996</v>
      </c>
      <c r="X27" s="1">
        <v>69.525700000000001</v>
      </c>
      <c r="Y27" s="1">
        <v>70.8934</v>
      </c>
      <c r="Z27" s="12">
        <f>AVERAGE(P27:Y27)</f>
        <v>70.091610000000003</v>
      </c>
      <c r="AA27" s="11">
        <f>2.262*_xlfn.STDEV.S(P27:Y27)</f>
        <v>1.1908279202918273</v>
      </c>
      <c r="AC27">
        <f>(Z27+L15)/2</f>
        <v>70.478544999999997</v>
      </c>
    </row>
    <row r="28" spans="1:29" x14ac:dyDescent="0.3">
      <c r="A28" s="5" t="s">
        <v>13</v>
      </c>
      <c r="B28" s="1">
        <v>74.816199999999995</v>
      </c>
      <c r="C28" s="1">
        <v>76.367400000000004</v>
      </c>
      <c r="D28" s="1">
        <v>77.616200000000006</v>
      </c>
      <c r="E28" s="1">
        <v>77.252200000000002</v>
      </c>
      <c r="F28" s="1">
        <v>77.691800000000001</v>
      </c>
      <c r="G28" s="1">
        <v>77.623199999999997</v>
      </c>
      <c r="H28" s="1">
        <v>79.218999999999994</v>
      </c>
      <c r="I28" s="1">
        <v>76.830200000000005</v>
      </c>
      <c r="J28" s="1">
        <v>77.917100000000005</v>
      </c>
      <c r="K28" s="1">
        <v>80.061000000000007</v>
      </c>
      <c r="L28" s="12">
        <f t="shared" ref="L28:L29" si="17">AVERAGE(B28:K28)</f>
        <v>77.53943000000001</v>
      </c>
      <c r="M28" s="11">
        <f t="shared" ref="M28:M29" si="18">2.262*_xlfn.STDEV.S(B28:K28)</f>
        <v>3.2634507728573281</v>
      </c>
      <c r="O28" s="5" t="s">
        <v>13</v>
      </c>
      <c r="P28" s="1">
        <v>76.686499999999995</v>
      </c>
      <c r="Q28" s="1">
        <v>76.244600000000005</v>
      </c>
      <c r="R28" s="1">
        <v>75.730599999999995</v>
      </c>
      <c r="S28" s="1">
        <v>76.797799999999995</v>
      </c>
      <c r="T28" s="1">
        <v>76.904499999999999</v>
      </c>
      <c r="U28" s="1">
        <v>76.644800000000004</v>
      </c>
      <c r="V28" s="1">
        <v>76.304500000000004</v>
      </c>
      <c r="W28" s="1">
        <v>76.688900000000004</v>
      </c>
      <c r="X28" s="1">
        <v>78.917900000000003</v>
      </c>
      <c r="Y28" s="1">
        <v>77.790400000000005</v>
      </c>
      <c r="Z28" s="12">
        <f t="shared" ref="Z28:Z29" si="19">AVERAGE(P28:Y28)</f>
        <v>76.871049999999997</v>
      </c>
      <c r="AA28" s="11">
        <f t="shared" ref="AA28:AA29" si="20">2.262*_xlfn.STDEV.S(P28:Y28)</f>
        <v>2.0195035141269231</v>
      </c>
      <c r="AC28">
        <f t="shared" ref="AC28:AC29" si="21">(Z28+L16)/2</f>
        <v>76.426680000000005</v>
      </c>
    </row>
    <row r="29" spans="1:29" ht="15" thickBot="1" x14ac:dyDescent="0.35">
      <c r="A29" s="6" t="s">
        <v>14</v>
      </c>
      <c r="B29" s="2">
        <v>79.608900000000006</v>
      </c>
      <c r="C29" s="2">
        <v>78.508700000000005</v>
      </c>
      <c r="D29" s="2">
        <v>78.356499999999997</v>
      </c>
      <c r="E29" s="2">
        <v>78.248400000000004</v>
      </c>
      <c r="F29" s="2">
        <v>77.608599999999996</v>
      </c>
      <c r="G29" s="2">
        <v>77.7971</v>
      </c>
      <c r="H29" s="2">
        <v>78.019900000000007</v>
      </c>
      <c r="I29" s="2">
        <v>78.536100000000005</v>
      </c>
      <c r="J29" s="2">
        <v>78.055700000000002</v>
      </c>
      <c r="K29" s="2">
        <v>80.801000000000002</v>
      </c>
      <c r="L29" s="13">
        <f t="shared" si="17"/>
        <v>78.554090000000002</v>
      </c>
      <c r="M29" s="14">
        <f t="shared" si="18"/>
        <v>2.1718390532603133</v>
      </c>
      <c r="O29" s="6" t="s">
        <v>14</v>
      </c>
      <c r="P29" s="2">
        <v>78.083399999999997</v>
      </c>
      <c r="Q29" s="2">
        <v>77.625900000000001</v>
      </c>
      <c r="R29" s="2">
        <v>77.713700000000003</v>
      </c>
      <c r="S29" s="2">
        <v>76.822299999999998</v>
      </c>
      <c r="T29" s="2">
        <v>77.683999999999997</v>
      </c>
      <c r="U29" s="2">
        <v>76.572900000000004</v>
      </c>
      <c r="V29" s="2">
        <v>76.330799999999996</v>
      </c>
      <c r="W29" s="2">
        <v>76.819400000000002</v>
      </c>
      <c r="X29" s="2">
        <v>77.036000000000001</v>
      </c>
      <c r="Y29" s="2">
        <v>76.261899999999997</v>
      </c>
      <c r="Z29" s="13">
        <f t="shared" si="19"/>
        <v>77.095029999999994</v>
      </c>
      <c r="AA29" s="14">
        <f t="shared" si="20"/>
        <v>1.4489650312848403</v>
      </c>
      <c r="AC29">
        <f t="shared" si="21"/>
        <v>76.90664000000001</v>
      </c>
    </row>
    <row r="30" spans="1:29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29" ht="15" thickBot="1" x14ac:dyDescent="0.35">
      <c r="A31" s="15">
        <v>0.5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7"/>
    </row>
    <row r="32" spans="1:29" ht="15" thickBot="1" x14ac:dyDescent="0.35">
      <c r="A32" s="9" t="s">
        <v>11</v>
      </c>
      <c r="B32" s="2" t="s">
        <v>0</v>
      </c>
      <c r="C32" s="2" t="s">
        <v>1</v>
      </c>
      <c r="D32" s="2" t="s">
        <v>2</v>
      </c>
      <c r="E32" s="2" t="s">
        <v>3</v>
      </c>
      <c r="F32" s="2" t="s">
        <v>4</v>
      </c>
      <c r="G32" s="2" t="s">
        <v>5</v>
      </c>
      <c r="H32" s="2" t="s">
        <v>6</v>
      </c>
      <c r="I32" s="2" t="s">
        <v>7</v>
      </c>
      <c r="J32" s="2" t="s">
        <v>8</v>
      </c>
      <c r="K32" s="2" t="s">
        <v>9</v>
      </c>
      <c r="L32" s="8" t="s">
        <v>10</v>
      </c>
      <c r="M32" s="7" t="s">
        <v>15</v>
      </c>
    </row>
    <row r="33" spans="1:13" x14ac:dyDescent="0.3">
      <c r="A33" s="5" t="s">
        <v>12</v>
      </c>
      <c r="B33" s="1">
        <v>77.727400000000003</v>
      </c>
      <c r="C33" s="1">
        <v>78.170400000000001</v>
      </c>
      <c r="D33" s="1">
        <v>77.115200000000002</v>
      </c>
      <c r="E33" s="1">
        <v>78.127300000000005</v>
      </c>
      <c r="F33" s="1">
        <v>78.081500000000005</v>
      </c>
      <c r="G33" s="1">
        <v>78.177099999999996</v>
      </c>
      <c r="H33" s="1">
        <v>76.494900000000001</v>
      </c>
      <c r="I33" s="1">
        <v>79.569999999999993</v>
      </c>
      <c r="J33" s="1">
        <v>78.353200000000001</v>
      </c>
      <c r="K33" s="1">
        <v>77.707300000000004</v>
      </c>
      <c r="L33" s="12">
        <f>AVERAGE(B33:K33)</f>
        <v>77.952430000000007</v>
      </c>
      <c r="M33" s="11">
        <f>2.262*_xlfn.STDEV.S(B33:K33)</f>
        <v>1.8249993940204199</v>
      </c>
    </row>
    <row r="34" spans="1:13" x14ac:dyDescent="0.3">
      <c r="A34" s="5" t="s">
        <v>13</v>
      </c>
      <c r="B34" s="1">
        <v>79.284000000000006</v>
      </c>
      <c r="C34" s="1">
        <v>77.721699999999998</v>
      </c>
      <c r="D34" s="1">
        <v>78.462800000000001</v>
      </c>
      <c r="E34" s="1">
        <v>79.162499999999994</v>
      </c>
      <c r="F34" s="1">
        <v>77.978999999999999</v>
      </c>
      <c r="G34" s="1">
        <v>79.320899999999995</v>
      </c>
      <c r="H34" s="1">
        <v>78.694400000000002</v>
      </c>
      <c r="I34" s="1">
        <v>77.535300000000007</v>
      </c>
      <c r="J34" s="1">
        <v>78.429400000000001</v>
      </c>
      <c r="K34" s="1">
        <v>78.941000000000003</v>
      </c>
      <c r="L34" s="12">
        <f t="shared" ref="L34:L35" si="22">AVERAGE(B34:K34)</f>
        <v>78.553100000000001</v>
      </c>
      <c r="M34" s="11">
        <f t="shared" ref="M34:M35" si="23">2.262*_xlfn.STDEV.S(B34:K34)</f>
        <v>1.4592815370222403</v>
      </c>
    </row>
    <row r="35" spans="1:13" ht="15" thickBot="1" x14ac:dyDescent="0.35">
      <c r="A35" s="6" t="s">
        <v>14</v>
      </c>
      <c r="B35" s="2">
        <v>77.975399999999993</v>
      </c>
      <c r="C35" s="2">
        <v>78.568100000000001</v>
      </c>
      <c r="D35" s="2">
        <v>79.317099999999996</v>
      </c>
      <c r="E35" s="2">
        <v>78.762699999999995</v>
      </c>
      <c r="F35" s="2">
        <v>79.024900000000002</v>
      </c>
      <c r="G35" s="2">
        <v>76.895799999999994</v>
      </c>
      <c r="H35" s="2">
        <v>78.528499999999994</v>
      </c>
      <c r="I35" s="2">
        <v>79.257199999999997</v>
      </c>
      <c r="J35" s="2">
        <v>79.1541</v>
      </c>
      <c r="K35" s="2">
        <v>79.781800000000004</v>
      </c>
      <c r="L35" s="13">
        <f t="shared" si="22"/>
        <v>78.726559999999992</v>
      </c>
      <c r="M35" s="14">
        <f t="shared" si="23"/>
        <v>1.8464861045198269</v>
      </c>
    </row>
  </sheetData>
  <mergeCells count="11">
    <mergeCell ref="O1:AA1"/>
    <mergeCell ref="O7:AA7"/>
    <mergeCell ref="O13:AA13"/>
    <mergeCell ref="O19:AA19"/>
    <mergeCell ref="O25:AA25"/>
    <mergeCell ref="A31:M31"/>
    <mergeCell ref="A7:M7"/>
    <mergeCell ref="A1:M1"/>
    <mergeCell ref="A13:M13"/>
    <mergeCell ref="A19:M19"/>
    <mergeCell ref="A25:M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Hsu</dc:creator>
  <cp:lastModifiedBy>Benny Hsu</cp:lastModifiedBy>
  <dcterms:created xsi:type="dcterms:W3CDTF">2015-06-05T18:17:20Z</dcterms:created>
  <dcterms:modified xsi:type="dcterms:W3CDTF">2024-04-25T19:09:58Z</dcterms:modified>
</cp:coreProperties>
</file>